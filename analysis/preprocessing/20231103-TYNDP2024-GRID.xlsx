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6"/>
  </bookViews>
  <sheets>
    <sheet name="Content" sheetId="1" state="visible" r:id="rId3"/>
    <sheet name="_Methodology" sheetId="2" state="visible" r:id="rId4"/>
    <sheet name="1. Elec Ref Grid" sheetId="3" state="visible" r:id="rId5"/>
    <sheet name="2. H2 Ref Grid" sheetId="4" state="visible" r:id="rId6"/>
    <sheet name="3. Elec Invest Candidates" sheetId="5" state="visible" r:id="rId7"/>
    <sheet name="4. H2 Invest Candidates" sheetId="6" state="visible" r:id="rId8"/>
    <sheet name="BALMOREL_XTRANS_POT" sheetId="7" state="visible" r:id="rId9"/>
  </sheets>
  <definedNames>
    <definedName function="false" hidden="true" localSheetId="2" name="_xlnm._FilterDatabase" vbProcedure="false">'1. Elec Ref Grid'!$A$1:$C$149</definedName>
    <definedName function="false" hidden="true" localSheetId="4" name="_xlnm._FilterDatabase" vbProcedure="false">'3. Elec Invest Candidates'!$A$1:$H$261</definedName>
    <definedName function="false" hidden="true" localSheetId="5" name="_xlnm._FilterDatabase" vbProcedure="false">'4. H2 Invest Candidates'!$A$1:$H$281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<sst xmlns="http://schemas.openxmlformats.org/spreadsheetml/2006/main" count="2762" uniqueCount="550">
  <si>
    <t xml:space="preserve">Electricity &amp; Hydrogen Reference Grid and Investment Candidates</t>
  </si>
  <si>
    <t xml:space="preserve">_</t>
  </si>
  <si>
    <t xml:space="preserve">Methodology</t>
  </si>
  <si>
    <t xml:space="preserve">Electricity Reference Grid</t>
  </si>
  <si>
    <t xml:space="preserve">Hydrogen Reference Grid</t>
  </si>
  <si>
    <t xml:space="preserve">Electricity Investment Candidates</t>
  </si>
  <si>
    <t xml:space="preserve">Hydrogen Investment Candidates</t>
  </si>
  <si>
    <t xml:space="preserve">Border</t>
  </si>
  <si>
    <t xml:space="preserve">Summary Direction 1 (MW)</t>
  </si>
  <si>
    <t xml:space="preserve">Summary Direction 2 (MW)</t>
  </si>
  <si>
    <t xml:space="preserve">AL00-GR00</t>
  </si>
  <si>
    <t xml:space="preserve">AL00-ME00</t>
  </si>
  <si>
    <t xml:space="preserve">AL00-MK00</t>
  </si>
  <si>
    <t xml:space="preserve">AL00-RS00</t>
  </si>
  <si>
    <t xml:space="preserve">AT00-CH00</t>
  </si>
  <si>
    <t xml:space="preserve">AT00-CZ00</t>
  </si>
  <si>
    <t xml:space="preserve">AT00-DE00</t>
  </si>
  <si>
    <t xml:space="preserve">AT00-HU00</t>
  </si>
  <si>
    <t xml:space="preserve">AT00-ITN1</t>
  </si>
  <si>
    <t xml:space="preserve">AT00-SI00</t>
  </si>
  <si>
    <t xml:space="preserve">AT00-SK00</t>
  </si>
  <si>
    <t xml:space="preserve">BA00-HR00</t>
  </si>
  <si>
    <t xml:space="preserve">BA00-ME00</t>
  </si>
  <si>
    <t xml:space="preserve">BA00-RS00</t>
  </si>
  <si>
    <t xml:space="preserve">BE00-DE00</t>
  </si>
  <si>
    <t xml:space="preserve">BE00-FR00</t>
  </si>
  <si>
    <t xml:space="preserve">BE00-LUB1</t>
  </si>
  <si>
    <t xml:space="preserve">BE00-LUG1</t>
  </si>
  <si>
    <t xml:space="preserve">BE00-NL00</t>
  </si>
  <si>
    <t xml:space="preserve">BE00-UK00</t>
  </si>
  <si>
    <t xml:space="preserve">BG00-GR00</t>
  </si>
  <si>
    <t xml:space="preserve">BG00-MK00</t>
  </si>
  <si>
    <t xml:space="preserve">BG00-RO00</t>
  </si>
  <si>
    <t xml:space="preserve">BG00-RS00</t>
  </si>
  <si>
    <t xml:space="preserve">BG00-TR00</t>
  </si>
  <si>
    <t xml:space="preserve">CH00-DE00</t>
  </si>
  <si>
    <t xml:space="preserve">CH00-FR00</t>
  </si>
  <si>
    <t xml:space="preserve">CH00-ITN1</t>
  </si>
  <si>
    <t xml:space="preserve">CY00-EG00</t>
  </si>
  <si>
    <t xml:space="preserve">CY00-GR03</t>
  </si>
  <si>
    <t xml:space="preserve">CY00-IL00</t>
  </si>
  <si>
    <t xml:space="preserve">CZ00-DE00</t>
  </si>
  <si>
    <t xml:space="preserve">CZ00-PL00I</t>
  </si>
  <si>
    <t xml:space="preserve">CZ00-SK00</t>
  </si>
  <si>
    <t xml:space="preserve">DE00-DEKF</t>
  </si>
  <si>
    <t xml:space="preserve">DE00-DKE1</t>
  </si>
  <si>
    <t xml:space="preserve">DE00-DKW1</t>
  </si>
  <si>
    <t xml:space="preserve">DE00-FR00</t>
  </si>
  <si>
    <t xml:space="preserve">DE00-LUG1</t>
  </si>
  <si>
    <t xml:space="preserve">DE00-LUV1</t>
  </si>
  <si>
    <t xml:space="preserve">DE00-NL00</t>
  </si>
  <si>
    <t xml:space="preserve">DE00-NOS0</t>
  </si>
  <si>
    <t xml:space="preserve">DE00-PL00I</t>
  </si>
  <si>
    <t xml:space="preserve">DE00-SE04</t>
  </si>
  <si>
    <t xml:space="preserve">DE00-UK00</t>
  </si>
  <si>
    <t xml:space="preserve">DEKF-DKKF</t>
  </si>
  <si>
    <t xml:space="preserve">DKE1-DKKF</t>
  </si>
  <si>
    <t xml:space="preserve">DKE1-DKW1</t>
  </si>
  <si>
    <t xml:space="preserve">DKE1-PL00</t>
  </si>
  <si>
    <t xml:space="preserve">DKE1-SE04</t>
  </si>
  <si>
    <t xml:space="preserve">DKW1-NL00</t>
  </si>
  <si>
    <t xml:space="preserve">DKW1-NOS0</t>
  </si>
  <si>
    <t xml:space="preserve">DKW1-SE03</t>
  </si>
  <si>
    <t xml:space="preserve">DKW1-UK00</t>
  </si>
  <si>
    <t xml:space="preserve">DZ00-MA00</t>
  </si>
  <si>
    <t xml:space="preserve">DZ00-TN00</t>
  </si>
  <si>
    <t xml:space="preserve">EE00-FI00</t>
  </si>
  <si>
    <t xml:space="preserve">EE00-LV00</t>
  </si>
  <si>
    <t xml:space="preserve">EG00-GR00</t>
  </si>
  <si>
    <t xml:space="preserve">EG00-LY00</t>
  </si>
  <si>
    <t xml:space="preserve">ES00-FR00</t>
  </si>
  <si>
    <t xml:space="preserve">ES00-MA00</t>
  </si>
  <si>
    <t xml:space="preserve">ES00-PT00</t>
  </si>
  <si>
    <t xml:space="preserve">FI00-NON1</t>
  </si>
  <si>
    <t xml:space="preserve">FI00-SE01</t>
  </si>
  <si>
    <t xml:space="preserve">FI00-SE02</t>
  </si>
  <si>
    <t xml:space="preserve">FI00-SE03</t>
  </si>
  <si>
    <t xml:space="preserve">FR00-IE00</t>
  </si>
  <si>
    <t xml:space="preserve">FR00-ITN1</t>
  </si>
  <si>
    <t xml:space="preserve">FR00-LUF1</t>
  </si>
  <si>
    <t xml:space="preserve">FR00-UK00</t>
  </si>
  <si>
    <t xml:space="preserve">FR15-ITCO</t>
  </si>
  <si>
    <t xml:space="preserve">GR00-GR03</t>
  </si>
  <si>
    <t xml:space="preserve">GR00-ITS1</t>
  </si>
  <si>
    <t xml:space="preserve">GR00-LY00</t>
  </si>
  <si>
    <t xml:space="preserve">GR00-MK00</t>
  </si>
  <si>
    <t xml:space="preserve">GR00-TR00</t>
  </si>
  <si>
    <t xml:space="preserve">GR03-LY00</t>
  </si>
  <si>
    <t xml:space="preserve">HR00-HU00</t>
  </si>
  <si>
    <t xml:space="preserve">HR00-RS00</t>
  </si>
  <si>
    <t xml:space="preserve">HR00-SI00</t>
  </si>
  <si>
    <t xml:space="preserve">HU00-RO00</t>
  </si>
  <si>
    <t xml:space="preserve">HU00-RS00</t>
  </si>
  <si>
    <t xml:space="preserve">HU00-SI00</t>
  </si>
  <si>
    <t xml:space="preserve">HU00-SK00</t>
  </si>
  <si>
    <t xml:space="preserve">HU00-UA01</t>
  </si>
  <si>
    <t xml:space="preserve">IE00-UK00</t>
  </si>
  <si>
    <t xml:space="preserve">IE00-UKNI</t>
  </si>
  <si>
    <t xml:space="preserve">IL00-PS00</t>
  </si>
  <si>
    <t xml:space="preserve">IS00-UK00</t>
  </si>
  <si>
    <t xml:space="preserve">ITCN-ITCO</t>
  </si>
  <si>
    <t xml:space="preserve">ITCN-ITCS</t>
  </si>
  <si>
    <t xml:space="preserve">ITCN-ITN1</t>
  </si>
  <si>
    <t xml:space="preserve">ITCO-ITSA</t>
  </si>
  <si>
    <t xml:space="preserve">ITCS-ITS1</t>
  </si>
  <si>
    <t xml:space="preserve">ITCS-ITSA</t>
  </si>
  <si>
    <t xml:space="preserve">ITCS-ITSIvirt</t>
  </si>
  <si>
    <t xml:space="preserve">ITCS-ME00</t>
  </si>
  <si>
    <t xml:space="preserve">ITN1-SI00</t>
  </si>
  <si>
    <t xml:space="preserve">ITS1-ITCA</t>
  </si>
  <si>
    <t xml:space="preserve">ITSA-ITSIvirt</t>
  </si>
  <si>
    <t xml:space="preserve">ITSI-ITCA</t>
  </si>
  <si>
    <t xml:space="preserve">ITSI-ITSIvirt</t>
  </si>
  <si>
    <t xml:space="preserve">ITSI-MT00</t>
  </si>
  <si>
    <t xml:space="preserve">ITSI-TN00</t>
  </si>
  <si>
    <t xml:space="preserve">LT00-LV00</t>
  </si>
  <si>
    <t xml:space="preserve">LT00-PL00</t>
  </si>
  <si>
    <t xml:space="preserve">LT00-SE04</t>
  </si>
  <si>
    <t xml:space="preserve">LY00-TN00</t>
  </si>
  <si>
    <t xml:space="preserve">ME00-RS00</t>
  </si>
  <si>
    <t xml:space="preserve">MK00-RS00</t>
  </si>
  <si>
    <t xml:space="preserve">NL00-NOS0</t>
  </si>
  <si>
    <t xml:space="preserve">NL00-UK00</t>
  </si>
  <si>
    <t xml:space="preserve">NOM1-NON1</t>
  </si>
  <si>
    <t xml:space="preserve">NOM1-NOS0</t>
  </si>
  <si>
    <t xml:space="preserve">NOM1-SE02</t>
  </si>
  <si>
    <t xml:space="preserve">NON1-SE01</t>
  </si>
  <si>
    <t xml:space="preserve">NON1-SE02</t>
  </si>
  <si>
    <t xml:space="preserve">NOS0-SE03</t>
  </si>
  <si>
    <t xml:space="preserve">PL00E-CZ00</t>
  </si>
  <si>
    <t xml:space="preserve">PL00E-DE00</t>
  </si>
  <si>
    <t xml:space="preserve">PL00E-SK00</t>
  </si>
  <si>
    <t xml:space="preserve">PL00I-PL00</t>
  </si>
  <si>
    <t xml:space="preserve">PL00-PL00E</t>
  </si>
  <si>
    <t xml:space="preserve">PL00-SE04</t>
  </si>
  <si>
    <t xml:space="preserve">RO00-RS00</t>
  </si>
  <si>
    <t xml:space="preserve">RO00-UA01</t>
  </si>
  <si>
    <t xml:space="preserve">SE01-SE02</t>
  </si>
  <si>
    <t xml:space="preserve">SE02-SE03</t>
  </si>
  <si>
    <t xml:space="preserve">SE03-SE04</t>
  </si>
  <si>
    <t xml:space="preserve">SK00-PL00I</t>
  </si>
  <si>
    <t xml:space="preserve">SK00-UA01</t>
  </si>
  <si>
    <t xml:space="preserve">UK00-NOS0</t>
  </si>
  <si>
    <t xml:space="preserve">UK00-UKNI</t>
  </si>
  <si>
    <t xml:space="preserve">MD00-RO00</t>
  </si>
  <si>
    <t xml:space="preserve">ITCS-ITN1</t>
  </si>
  <si>
    <t xml:space="preserve">EG00-GR03</t>
  </si>
  <si>
    <t xml:space="preserve">HU00-UA00</t>
  </si>
  <si>
    <t xml:space="preserve">PL00-UA00</t>
  </si>
  <si>
    <t xml:space="preserve">RO00-UA00</t>
  </si>
  <si>
    <t xml:space="preserve">SK00-UA00</t>
  </si>
  <si>
    <t xml:space="preserve">MD00-UA00</t>
  </si>
  <si>
    <t xml:space="preserve">Summary Direction 1 (GW)</t>
  </si>
  <si>
    <t xml:space="preserve">Summary Direction 2 (GW)</t>
  </si>
  <si>
    <t xml:space="preserve">AT-DE</t>
  </si>
  <si>
    <t xml:space="preserve">AT-IBIT</t>
  </si>
  <si>
    <t xml:space="preserve">AT-SI</t>
  </si>
  <si>
    <t xml:space="preserve">AT-SK</t>
  </si>
  <si>
    <t xml:space="preserve">BE-DE</t>
  </si>
  <si>
    <t xml:space="preserve">BE-FR</t>
  </si>
  <si>
    <t xml:space="preserve">BE-LU</t>
  </si>
  <si>
    <t xml:space="preserve">BE-NL</t>
  </si>
  <si>
    <t xml:space="preserve">BG-GR</t>
  </si>
  <si>
    <t xml:space="preserve">BG-RO</t>
  </si>
  <si>
    <t xml:space="preserve">CH-IBIT</t>
  </si>
  <si>
    <t xml:space="preserve">CZ-DE</t>
  </si>
  <si>
    <t xml:space="preserve">DE-DK</t>
  </si>
  <si>
    <t xml:space="preserve">DE-FR</t>
  </si>
  <si>
    <t xml:space="preserve">DE-NL</t>
  </si>
  <si>
    <t xml:space="preserve">DE-PL</t>
  </si>
  <si>
    <t xml:space="preserve">EE-FI</t>
  </si>
  <si>
    <t xml:space="preserve">EE-LV</t>
  </si>
  <si>
    <t xml:space="preserve">ES-FR</t>
  </si>
  <si>
    <t xml:space="preserve">ES-IT</t>
  </si>
  <si>
    <t xml:space="preserve">ES-PT</t>
  </si>
  <si>
    <t xml:space="preserve">FI-SE</t>
  </si>
  <si>
    <t xml:space="preserve">HR-HU</t>
  </si>
  <si>
    <t xml:space="preserve">HR-SI</t>
  </si>
  <si>
    <t xml:space="preserve">HU-RO</t>
  </si>
  <si>
    <t xml:space="preserve">HU-SI</t>
  </si>
  <si>
    <t xml:space="preserve">HU-SK</t>
  </si>
  <si>
    <t xml:space="preserve">IT-SI</t>
  </si>
  <si>
    <t xml:space="preserve">LT-LV</t>
  </si>
  <si>
    <t xml:space="preserve">LT-PL</t>
  </si>
  <si>
    <t xml:space="preserve">SK-CZ</t>
  </si>
  <si>
    <t xml:space="preserve">FI-IBFI</t>
  </si>
  <si>
    <t xml:space="preserve">SE-IBFI</t>
  </si>
  <si>
    <t xml:space="preserve">IT-IBIT</t>
  </si>
  <si>
    <t xml:space="preserve">DE-IBFI</t>
  </si>
  <si>
    <t xml:space="preserve">BORDER</t>
  </si>
  <si>
    <t xml:space="preserve">FROM NODE</t>
  </si>
  <si>
    <t xml:space="preserve">TO NODE</t>
  </si>
  <si>
    <t xml:space="preserve">YEAR</t>
  </si>
  <si>
    <t xml:space="preserve">SCENARIO</t>
  </si>
  <si>
    <t xml:space="preserve">DIRECT CAPACITY INCREASE (MW)</t>
  </si>
  <si>
    <t xml:space="preserve">INDIRECT CAPACITY INCREASE (MW)</t>
  </si>
  <si>
    <t xml:space="preserve">CAPEX (M€)</t>
  </si>
  <si>
    <t xml:space="preserve">AT00-ITN1 Real 1</t>
  </si>
  <si>
    <t xml:space="preserve">AT00</t>
  </si>
  <si>
    <t xml:space="preserve">ITN1</t>
  </si>
  <si>
    <t xml:space="preserve">All</t>
  </si>
  <si>
    <t xml:space="preserve">AT00-ITN1 Real 2</t>
  </si>
  <si>
    <t xml:space="preserve">AT00-SI00 Real 1</t>
  </si>
  <si>
    <t xml:space="preserve">SI00</t>
  </si>
  <si>
    <t xml:space="preserve">BE00-DE00 Real 1</t>
  </si>
  <si>
    <t xml:space="preserve">BE00</t>
  </si>
  <si>
    <t xml:space="preserve">DE00</t>
  </si>
  <si>
    <t xml:space="preserve">BE00-FR00 Real 1</t>
  </si>
  <si>
    <t xml:space="preserve">FR00</t>
  </si>
  <si>
    <t xml:space="preserve">BE00-LUG1 Real 1</t>
  </si>
  <si>
    <t xml:space="preserve">LUG1</t>
  </si>
  <si>
    <t xml:space="preserve">BE00-NL00 Real 1</t>
  </si>
  <si>
    <t xml:space="preserve">NL00</t>
  </si>
  <si>
    <t xml:space="preserve">BE00-NL00 Real 2</t>
  </si>
  <si>
    <t xml:space="preserve">BE00-UK00 Real 1</t>
  </si>
  <si>
    <t xml:space="preserve">UK00</t>
  </si>
  <si>
    <t xml:space="preserve">BG00-TR00 Real 1</t>
  </si>
  <si>
    <t xml:space="preserve">BG00</t>
  </si>
  <si>
    <t xml:space="preserve">TR00</t>
  </si>
  <si>
    <t xml:space="preserve">CH00-DE00 Real 1</t>
  </si>
  <si>
    <t xml:space="preserve">CH00</t>
  </si>
  <si>
    <t xml:space="preserve">CH00-DE00 Real 2</t>
  </si>
  <si>
    <t xml:space="preserve">DE00-CH00 Real 1</t>
  </si>
  <si>
    <t xml:space="preserve">CH00-ITN1 Real 1</t>
  </si>
  <si>
    <t xml:space="preserve">DE00-NL00 Real 1</t>
  </si>
  <si>
    <t xml:space="preserve">DKW1-UK00 Real 1</t>
  </si>
  <si>
    <t xml:space="preserve">DKW1</t>
  </si>
  <si>
    <t xml:space="preserve">ES00-FR00 Real 1</t>
  </si>
  <si>
    <t xml:space="preserve">ES00</t>
  </si>
  <si>
    <t xml:space="preserve">ES00-FR00 Real 2</t>
  </si>
  <si>
    <t xml:space="preserve">FR00-UK00 Real 1</t>
  </si>
  <si>
    <t xml:space="preserve">IE00-UKNI Real 1</t>
  </si>
  <si>
    <t xml:space="preserve">IE00</t>
  </si>
  <si>
    <t xml:space="preserve">UKNI</t>
  </si>
  <si>
    <t xml:space="preserve">UK00-UKNI Real 1</t>
  </si>
  <si>
    <t xml:space="preserve">BA00-HR00 Real 1</t>
  </si>
  <si>
    <t xml:space="preserve">BA00</t>
  </si>
  <si>
    <t xml:space="preserve">HR00</t>
  </si>
  <si>
    <t xml:space="preserve">BG00-RS00 Real 1</t>
  </si>
  <si>
    <t xml:space="preserve">RS00</t>
  </si>
  <si>
    <t xml:space="preserve">CZ00-SK00 Real 1</t>
  </si>
  <si>
    <t xml:space="preserve">CZ00</t>
  </si>
  <si>
    <t xml:space="preserve">SK00</t>
  </si>
  <si>
    <t xml:space="preserve">DE00-SE04 Real 1</t>
  </si>
  <si>
    <t xml:space="preserve">SE04</t>
  </si>
  <si>
    <t xml:space="preserve">DE00-UK00 Real 1</t>
  </si>
  <si>
    <t xml:space="preserve">DKW1-SE03 Real 1</t>
  </si>
  <si>
    <t xml:space="preserve">SE03</t>
  </si>
  <si>
    <t xml:space="preserve">EE00-FI00 Real 1</t>
  </si>
  <si>
    <t xml:space="preserve">EE00</t>
  </si>
  <si>
    <t xml:space="preserve">FI00</t>
  </si>
  <si>
    <t xml:space="preserve">EE00-LV00 Real 1</t>
  </si>
  <si>
    <t xml:space="preserve">LV00</t>
  </si>
  <si>
    <t xml:space="preserve">FI00-SE01 Real 1</t>
  </si>
  <si>
    <t xml:space="preserve">SE01</t>
  </si>
  <si>
    <t xml:space="preserve">FI00-SE01 Real 2</t>
  </si>
  <si>
    <t xml:space="preserve">FI00-SE03 Real 1</t>
  </si>
  <si>
    <t xml:space="preserve">GR00-ITS1 Real 1</t>
  </si>
  <si>
    <t xml:space="preserve">GR00</t>
  </si>
  <si>
    <t xml:space="preserve">ITS1</t>
  </si>
  <si>
    <t xml:space="preserve">GR00-MK00 Real 1</t>
  </si>
  <si>
    <t xml:space="preserve">MK00</t>
  </si>
  <si>
    <t xml:space="preserve">GR00-TR00 Real 1</t>
  </si>
  <si>
    <t xml:space="preserve">HR00-RS00 Real 1</t>
  </si>
  <si>
    <t xml:space="preserve">HU00-RO00 Real 1</t>
  </si>
  <si>
    <t xml:space="preserve">HU00</t>
  </si>
  <si>
    <t xml:space="preserve">RO00</t>
  </si>
  <si>
    <t xml:space="preserve">HU00-RS00 Real 1</t>
  </si>
  <si>
    <t xml:space="preserve">ITCS-ME00 Real 1</t>
  </si>
  <si>
    <t xml:space="preserve">ITCS</t>
  </si>
  <si>
    <t xml:space="preserve">ME00</t>
  </si>
  <si>
    <t xml:space="preserve">LT00-SE04 Real 1</t>
  </si>
  <si>
    <t xml:space="preserve">LT00</t>
  </si>
  <si>
    <t xml:space="preserve">LV00-SE03 Real 1</t>
  </si>
  <si>
    <t xml:space="preserve">SE02-SE03 Real 1</t>
  </si>
  <si>
    <t xml:space="preserve">SE02</t>
  </si>
  <si>
    <t xml:space="preserve">SE02-SE03 Real 2</t>
  </si>
  <si>
    <t xml:space="preserve">AT00-CH00 Concept 1</t>
  </si>
  <si>
    <t xml:space="preserve">AT00-CH00 Concept 2</t>
  </si>
  <si>
    <t xml:space="preserve">AT00-DE00 Concept 1</t>
  </si>
  <si>
    <t xml:space="preserve">AT00-DE00 Concept 2</t>
  </si>
  <si>
    <t xml:space="preserve">AT00-DE00 Concept 3</t>
  </si>
  <si>
    <t xml:space="preserve">AT00-DE00 Concept 4</t>
  </si>
  <si>
    <t xml:space="preserve">AT00-ITN1 Concept 1</t>
  </si>
  <si>
    <t xml:space="preserve">AT00-ITN1 Concept 2</t>
  </si>
  <si>
    <t xml:space="preserve">AT00-SI00 Concept 1</t>
  </si>
  <si>
    <t xml:space="preserve">AT00-SI00 Concept 2</t>
  </si>
  <si>
    <t xml:space="preserve">AT00-SI00 Concept 3</t>
  </si>
  <si>
    <t xml:space="preserve">BE00-DE00 Concept 1</t>
  </si>
  <si>
    <t xml:space="preserve">BE00-DE00 Concept 2</t>
  </si>
  <si>
    <t xml:space="preserve">BE00-FR00 Concept 1</t>
  </si>
  <si>
    <t xml:space="preserve">BE00-FR00 Concept 2</t>
  </si>
  <si>
    <t xml:space="preserve">BE00-NL00 Concept 1</t>
  </si>
  <si>
    <t xml:space="preserve">BE00-NL00 Concept 2</t>
  </si>
  <si>
    <t xml:space="preserve">BE00-UK00 Concept 1</t>
  </si>
  <si>
    <t xml:space="preserve">BG00-TR00 Concept 1</t>
  </si>
  <si>
    <t xml:space="preserve">BG00-TR00 Concept 2</t>
  </si>
  <si>
    <t xml:space="preserve">CH00-FR00 Concept 1</t>
  </si>
  <si>
    <t xml:space="preserve">CH00-FR00 Concept 2</t>
  </si>
  <si>
    <t xml:space="preserve">CH00-ITN1 Concept 1</t>
  </si>
  <si>
    <t xml:space="preserve">CH00-ITN1 Concept 2</t>
  </si>
  <si>
    <t xml:space="preserve">DE00-CH00 Concept 1</t>
  </si>
  <si>
    <t xml:space="preserve">DE00-CH00 Concept 2</t>
  </si>
  <si>
    <t xml:space="preserve">DE00-FR00 Concept 1</t>
  </si>
  <si>
    <t xml:space="preserve">DE00-FR00 Concept 2</t>
  </si>
  <si>
    <t xml:space="preserve">ES00-FR00 Concept 1</t>
  </si>
  <si>
    <t xml:space="preserve">ES00-FR00 Concept 2</t>
  </si>
  <si>
    <t xml:space="preserve">ES00-PT00 Concept 1</t>
  </si>
  <si>
    <t xml:space="preserve">PT00</t>
  </si>
  <si>
    <t xml:space="preserve">ES00-PT00 Concept 2</t>
  </si>
  <si>
    <t xml:space="preserve">ES00-PT00 Concept 3</t>
  </si>
  <si>
    <t xml:space="preserve">ES00-PT00 Concept 4</t>
  </si>
  <si>
    <t xml:space="preserve">FR00-IE00 Concept 1</t>
  </si>
  <si>
    <t xml:space="preserve">FR00-IE00 Concept 2</t>
  </si>
  <si>
    <t xml:space="preserve">FR00-ITN1 Concept 1</t>
  </si>
  <si>
    <t xml:space="preserve">FR00-ITN1 Concept 2</t>
  </si>
  <si>
    <t xml:space="preserve">FR00-UK00 Concept 1</t>
  </si>
  <si>
    <t xml:space="preserve">FR00-UK00 Concept 2</t>
  </si>
  <si>
    <t xml:space="preserve">GR00-TR00 Concept 1</t>
  </si>
  <si>
    <t xml:space="preserve">GR00-TR00 Concept 2</t>
  </si>
  <si>
    <t xml:space="preserve">ITN1-SI00 Concept 1</t>
  </si>
  <si>
    <t xml:space="preserve">ITN1-SI00 Concept 2</t>
  </si>
  <si>
    <t xml:space="preserve">ITSI-TN00 Concept 1</t>
  </si>
  <si>
    <t xml:space="preserve">ITSI</t>
  </si>
  <si>
    <t xml:space="preserve">TN00</t>
  </si>
  <si>
    <t xml:space="preserve">ITSI-TN00 Concept 2</t>
  </si>
  <si>
    <t xml:space="preserve">NL00-UK00 Concept 1</t>
  </si>
  <si>
    <t xml:space="preserve">NL00-UK00 Concept 2</t>
  </si>
  <si>
    <t xml:space="preserve">NOS0-UK00 Concept 1</t>
  </si>
  <si>
    <t xml:space="preserve">NOS0</t>
  </si>
  <si>
    <t xml:space="preserve">UK00-IE00 Concept 1</t>
  </si>
  <si>
    <t xml:space="preserve">UK00-UKNI Concept 1</t>
  </si>
  <si>
    <t xml:space="preserve">DE00-NL00 Concept 1</t>
  </si>
  <si>
    <t xml:space="preserve">DE00-NL00 Concept 2</t>
  </si>
  <si>
    <t xml:space="preserve">BE00-LUG1 Concept 1</t>
  </si>
  <si>
    <t xml:space="preserve">NOS0-UK00 Concept 2</t>
  </si>
  <si>
    <t xml:space="preserve">AL00-ME00 Concept 1</t>
  </si>
  <si>
    <t xml:space="preserve">AL00</t>
  </si>
  <si>
    <t xml:space="preserve">AL00-ME00 Concept 2</t>
  </si>
  <si>
    <t xml:space="preserve">AL00-RS00 Concept 1</t>
  </si>
  <si>
    <t xml:space="preserve">AL00-RS00 Concept 2</t>
  </si>
  <si>
    <t xml:space="preserve">AL00-MK00 Concept 1</t>
  </si>
  <si>
    <t xml:space="preserve">AL00-MK00 Concept 2</t>
  </si>
  <si>
    <t xml:space="preserve">AL00-GR00 Concept 1</t>
  </si>
  <si>
    <t xml:space="preserve">AL00-GR00 Concept 2</t>
  </si>
  <si>
    <t xml:space="preserve">AL00-ME00 Concept 3</t>
  </si>
  <si>
    <t xml:space="preserve">AL00-ME00 Concept 4</t>
  </si>
  <si>
    <t xml:space="preserve">AT00-CZ00 Concept 1</t>
  </si>
  <si>
    <t xml:space="preserve">AT00-CZ00 Concept 2</t>
  </si>
  <si>
    <t xml:space="preserve">AT00-CZ00 Concept 3</t>
  </si>
  <si>
    <t xml:space="preserve">AT00-HU00 Concept 1</t>
  </si>
  <si>
    <t xml:space="preserve">AT00-HU00 Concept 2</t>
  </si>
  <si>
    <t xml:space="preserve">BA00-ME00 Concept 1</t>
  </si>
  <si>
    <t xml:space="preserve">BA00-ME00 Concept 2</t>
  </si>
  <si>
    <t xml:space="preserve">BA00-HR00 Concept 1</t>
  </si>
  <si>
    <t xml:space="preserve">BA00-HR00 Concept 2</t>
  </si>
  <si>
    <t xml:space="preserve">BA00-HR00 Concept 3</t>
  </si>
  <si>
    <t xml:space="preserve">BA00-ME00 Concept 3</t>
  </si>
  <si>
    <t xml:space="preserve">BA00-ME00 Concept 4</t>
  </si>
  <si>
    <t xml:space="preserve">BA00-RS00 Concept 1</t>
  </si>
  <si>
    <t xml:space="preserve">BA00-RS00 Concept 2</t>
  </si>
  <si>
    <t xml:space="preserve">BG00-GR00 Concept 1</t>
  </si>
  <si>
    <t xml:space="preserve">BG00-GR00 Concept 2</t>
  </si>
  <si>
    <t xml:space="preserve">BG00-RO00 Concept 1</t>
  </si>
  <si>
    <t xml:space="preserve">BG00-RO00 Concept 2</t>
  </si>
  <si>
    <t xml:space="preserve">BG00-RS00 Concept 1</t>
  </si>
  <si>
    <t xml:space="preserve">BG00-RS00 Concept 2</t>
  </si>
  <si>
    <t xml:space="preserve">BG00-MK00 Concept 1</t>
  </si>
  <si>
    <t xml:space="preserve">BG00-MK00 Concept 2</t>
  </si>
  <si>
    <t xml:space="preserve">CZ00-DE00 Concept 1</t>
  </si>
  <si>
    <t xml:space="preserve">CZ00-DE00 Concept 2</t>
  </si>
  <si>
    <t xml:space="preserve">CZ00-DE00 Concept 3</t>
  </si>
  <si>
    <t xml:space="preserve">CZ00-DE00 Concept 4</t>
  </si>
  <si>
    <t xml:space="preserve">CZ00-PL00 Concept 1</t>
  </si>
  <si>
    <t xml:space="preserve">PL00</t>
  </si>
  <si>
    <t xml:space="preserve">CZ00-PL00 Concept 2</t>
  </si>
  <si>
    <t xml:space="preserve">CZ00-SK00 Concept 1</t>
  </si>
  <si>
    <t xml:space="preserve">CZ00-SK00 Concept 2</t>
  </si>
  <si>
    <t xml:space="preserve">DE00-DKE1 Concept 1</t>
  </si>
  <si>
    <t xml:space="preserve">DKE1</t>
  </si>
  <si>
    <t xml:space="preserve">DE00-DKE1 Concept 2</t>
  </si>
  <si>
    <t xml:space="preserve">DE00-DKE1 Concept 3</t>
  </si>
  <si>
    <t xml:space="preserve">DE00-DKE1 Concept 4</t>
  </si>
  <si>
    <t xml:space="preserve">DE00-DKE1 Concept 5</t>
  </si>
  <si>
    <t xml:space="preserve">DE00-DKE1 Concept 6</t>
  </si>
  <si>
    <t xml:space="preserve">DE00-DKW1 Concept 1</t>
  </si>
  <si>
    <t xml:space="preserve">DE00-NOS0 Concept 1</t>
  </si>
  <si>
    <t xml:space="preserve">DE00-NOS0 Concept 2</t>
  </si>
  <si>
    <t xml:space="preserve">DE00-PL00 Concept 1</t>
  </si>
  <si>
    <t xml:space="preserve">DE00-PL00 Concept 2</t>
  </si>
  <si>
    <t xml:space="preserve">DE00-SE04 Concept 1</t>
  </si>
  <si>
    <t xml:space="preserve">DE00-SE04 Concept 2</t>
  </si>
  <si>
    <t xml:space="preserve">DE00-SE04 Concept 3</t>
  </si>
  <si>
    <t xml:space="preserve">DE00-SE04 Concept 4</t>
  </si>
  <si>
    <t xml:space="preserve">DE00-SE04 Concept 5</t>
  </si>
  <si>
    <t xml:space="preserve">DE00-SE04 Concept 6</t>
  </si>
  <si>
    <t xml:space="preserve">CZ00-DE00 Concept 5</t>
  </si>
  <si>
    <t xml:space="preserve">CZ00-DE00 Concept 6</t>
  </si>
  <si>
    <t xml:space="preserve">DKE1-SE04 Concept 1</t>
  </si>
  <si>
    <t xml:space="preserve">DKE1-SE04 Concept 2</t>
  </si>
  <si>
    <t xml:space="preserve">DKE1-DKW1 Concept 1</t>
  </si>
  <si>
    <t xml:space="preserve">DKE1-SE04 Concept 3</t>
  </si>
  <si>
    <t xml:space="preserve">DKE1-SE04 Concept 4</t>
  </si>
  <si>
    <t xml:space="preserve">DKW1-NOS0 Concept 1</t>
  </si>
  <si>
    <t xml:space="preserve">DKW1-NOS0 Concept 2</t>
  </si>
  <si>
    <t xml:space="preserve">DKW1-SE03 Concept 1</t>
  </si>
  <si>
    <t xml:space="preserve">DKW1-SE03 Concept 2</t>
  </si>
  <si>
    <t xml:space="preserve">DKW1-NL00 Concept 1</t>
  </si>
  <si>
    <t xml:space="preserve">DKW1-NL00 Concept 2</t>
  </si>
  <si>
    <t xml:space="preserve">DKW1-SE03 Concept 3</t>
  </si>
  <si>
    <t xml:space="preserve">DKW1-SE03 Concept 4</t>
  </si>
  <si>
    <t xml:space="preserve">DKW1-SE03 Concept 5</t>
  </si>
  <si>
    <t xml:space="preserve">DKW1-SE03 Concept 6</t>
  </si>
  <si>
    <t xml:space="preserve">EE00-FI00 Concept 1</t>
  </si>
  <si>
    <t xml:space="preserve">EE00-FI00 Concept 2</t>
  </si>
  <si>
    <t xml:space="preserve">EE00-LV00 Concept 1</t>
  </si>
  <si>
    <t xml:space="preserve">EE00-LV00 Concept 2</t>
  </si>
  <si>
    <t xml:space="preserve">FI00-NON1 Concept 1</t>
  </si>
  <si>
    <t xml:space="preserve">NON1</t>
  </si>
  <si>
    <t xml:space="preserve">FI00-SE01 Concept 1</t>
  </si>
  <si>
    <t xml:space="preserve">FI00-SE01 Concept 2</t>
  </si>
  <si>
    <t xml:space="preserve">FI00-SE02 Concept 1</t>
  </si>
  <si>
    <t xml:space="preserve">FI00-SE02 Concept 2</t>
  </si>
  <si>
    <t xml:space="preserve">FI00-SE03 Concept 1</t>
  </si>
  <si>
    <t xml:space="preserve">FI00-SE03 Concept 2</t>
  </si>
  <si>
    <t xml:space="preserve">FI00-NON1 Concept 2</t>
  </si>
  <si>
    <t xml:space="preserve">FI00-SE01 Concept 3</t>
  </si>
  <si>
    <t xml:space="preserve">FI00-SE02 Concept 3</t>
  </si>
  <si>
    <t xml:space="preserve">FI00-SE02 Concept 4</t>
  </si>
  <si>
    <t xml:space="preserve">FI00-SE03 Concept 3</t>
  </si>
  <si>
    <t xml:space="preserve">FI00-SE03 Concept 4</t>
  </si>
  <si>
    <t xml:space="preserve">GR00-ITS1 Concept 1</t>
  </si>
  <si>
    <t xml:space="preserve">GR00-ITS1 Concept 2</t>
  </si>
  <si>
    <t xml:space="preserve">GR00-MK00 Concept 1</t>
  </si>
  <si>
    <t xml:space="preserve">GR00-MK00 Concept 2</t>
  </si>
  <si>
    <t xml:space="preserve">HR00-HU00 Concept 1</t>
  </si>
  <si>
    <t xml:space="preserve">HR00-HU00 Concept 2</t>
  </si>
  <si>
    <t xml:space="preserve">HR00-RS00 Concept 1</t>
  </si>
  <si>
    <t xml:space="preserve">HR00-RS00 Concept 2</t>
  </si>
  <si>
    <t xml:space="preserve">HR00-SI00 Concept 1</t>
  </si>
  <si>
    <t xml:space="preserve">HR00-SI00 Concept 2</t>
  </si>
  <si>
    <t xml:space="preserve">HU00-SI00 Concept 1</t>
  </si>
  <si>
    <t xml:space="preserve">HU00-SI00 Concept 2</t>
  </si>
  <si>
    <t xml:space="preserve">HU00-SK00 Concept 1</t>
  </si>
  <si>
    <t xml:space="preserve">HU00-SK00 Concept 2</t>
  </si>
  <si>
    <t xml:space="preserve">HU00-RO00 Concept 1</t>
  </si>
  <si>
    <t xml:space="preserve">HU00-RO00 Concept 2</t>
  </si>
  <si>
    <t xml:space="preserve">HU00-RS00 Concept 1</t>
  </si>
  <si>
    <t xml:space="preserve">HU00-RS00 Concept 2</t>
  </si>
  <si>
    <t xml:space="preserve">HU00-SK00 Concept 3</t>
  </si>
  <si>
    <t xml:space="preserve">HU00-SK00 Concept 4</t>
  </si>
  <si>
    <t xml:space="preserve">ITCS-ME00 Concept 1</t>
  </si>
  <si>
    <t xml:space="preserve">ITCS-ME00 Concept 2</t>
  </si>
  <si>
    <t xml:space="preserve">LT00-LV00 Concept 1</t>
  </si>
  <si>
    <t xml:space="preserve">LT00-LV00 Concept 2</t>
  </si>
  <si>
    <t xml:space="preserve">LT00-LV00 Concept 3</t>
  </si>
  <si>
    <t xml:space="preserve">LT00-SE04 Concept 1</t>
  </si>
  <si>
    <t xml:space="preserve">LT00-SE04 Concept 2</t>
  </si>
  <si>
    <t xml:space="preserve">ME00-RS00 Concept 1</t>
  </si>
  <si>
    <t xml:space="preserve">ME00-RS00 Concept 2</t>
  </si>
  <si>
    <t xml:space="preserve">MK00-RS00 Concept 1</t>
  </si>
  <si>
    <t xml:space="preserve">MK00-RS00 Concept 2</t>
  </si>
  <si>
    <t xml:space="preserve">NL00-NOS0 Concept 1</t>
  </si>
  <si>
    <t xml:space="preserve">NL00-NOS0 Concept 2</t>
  </si>
  <si>
    <t xml:space="preserve">NOM1-SE02 Concept 1</t>
  </si>
  <si>
    <t xml:space="preserve">NOM1</t>
  </si>
  <si>
    <t xml:space="preserve">NOM1-SE02 Concept 2</t>
  </si>
  <si>
    <t xml:space="preserve">NON1-SE01 Concept 1</t>
  </si>
  <si>
    <t xml:space="preserve">NON1-SE01 Concept 2</t>
  </si>
  <si>
    <t xml:space="preserve">NON1-SE02 Concept 1</t>
  </si>
  <si>
    <t xml:space="preserve">NON1-SE02 Concept 2</t>
  </si>
  <si>
    <t xml:space="preserve">NOS0-SE03 Concept 1</t>
  </si>
  <si>
    <t xml:space="preserve">NOS0-SE03 Concept 2</t>
  </si>
  <si>
    <t xml:space="preserve">NOS0-SE03 Concept 3</t>
  </si>
  <si>
    <t xml:space="preserve">NOS0-SE03 Concept 4</t>
  </si>
  <si>
    <t xml:space="preserve">PL00-SE04 Concept 1</t>
  </si>
  <si>
    <t xml:space="preserve">PL00-SE04 Concept 2</t>
  </si>
  <si>
    <t xml:space="preserve">PL00-SK00 Concept 1</t>
  </si>
  <si>
    <t xml:space="preserve">PL00-SK00 Concept 2</t>
  </si>
  <si>
    <t xml:space="preserve">RO00-RS00 Concept 1</t>
  </si>
  <si>
    <t xml:space="preserve">RO00-RS00 Concept 2</t>
  </si>
  <si>
    <t xml:space="preserve">SE01-SE02 Concept 1</t>
  </si>
  <si>
    <t xml:space="preserve">SE01-SE02 Concept 2</t>
  </si>
  <si>
    <t xml:space="preserve">SE02-SE03 Concept 1</t>
  </si>
  <si>
    <t xml:space="preserve">SE02-SE03 Concept 2</t>
  </si>
  <si>
    <t xml:space="preserve">SE03-SE04 Concept 1</t>
  </si>
  <si>
    <t xml:space="preserve">SE03-SE04 Concept 2</t>
  </si>
  <si>
    <t xml:space="preserve">ITCS-ITS1 Concept 1</t>
  </si>
  <si>
    <t xml:space="preserve">ITCS-ITS1 Concept 2</t>
  </si>
  <si>
    <t xml:space="preserve">ITCS-ITN1 Concept 1</t>
  </si>
  <si>
    <t xml:space="preserve">ITCS-ITCN Concept 1</t>
  </si>
  <si>
    <t xml:space="preserve">ITCN</t>
  </si>
  <si>
    <t xml:space="preserve">ITCS-ITCN Concept 2</t>
  </si>
  <si>
    <t xml:space="preserve">ITCS-ITS1 Concept 3</t>
  </si>
  <si>
    <t xml:space="preserve">ITCS-ITCN Concept 3</t>
  </si>
  <si>
    <t xml:space="preserve">ITCN-ITN1 Concept 1</t>
  </si>
  <si>
    <t xml:space="preserve">ITCS-ITCN Concept 4</t>
  </si>
  <si>
    <t xml:space="preserve">ITSI-ITCA Concept 1</t>
  </si>
  <si>
    <t xml:space="preserve">ITCA</t>
  </si>
  <si>
    <t xml:space="preserve">ITS1-ITCA Concept 1</t>
  </si>
  <si>
    <t xml:space="preserve">ITCS-ITS1 Concept 4</t>
  </si>
  <si>
    <t xml:space="preserve">ITSA-ITCS Concept 1</t>
  </si>
  <si>
    <t xml:space="preserve">ITSA</t>
  </si>
  <si>
    <t xml:space="preserve">AT-IT</t>
  </si>
  <si>
    <t xml:space="preserve">AT</t>
  </si>
  <si>
    <t xml:space="preserve">IT</t>
  </si>
  <si>
    <t xml:space="preserve">SI</t>
  </si>
  <si>
    <t xml:space="preserve">SK</t>
  </si>
  <si>
    <t xml:space="preserve">BE</t>
  </si>
  <si>
    <t xml:space="preserve">FR</t>
  </si>
  <si>
    <t xml:space="preserve">LU</t>
  </si>
  <si>
    <t xml:space="preserve">NL</t>
  </si>
  <si>
    <t xml:space="preserve">UK</t>
  </si>
  <si>
    <t xml:space="preserve">BE-UK</t>
  </si>
  <si>
    <t xml:space="preserve">BG</t>
  </si>
  <si>
    <t xml:space="preserve">RO</t>
  </si>
  <si>
    <t xml:space="preserve">BA-HR</t>
  </si>
  <si>
    <t xml:space="preserve">HR</t>
  </si>
  <si>
    <t xml:space="preserve">HU</t>
  </si>
  <si>
    <t xml:space="preserve">CZ</t>
  </si>
  <si>
    <t xml:space="preserve">PL</t>
  </si>
  <si>
    <t xml:space="preserve">DK</t>
  </si>
  <si>
    <t xml:space="preserve">DE</t>
  </si>
  <si>
    <t xml:space="preserve">HR-RS</t>
  </si>
  <si>
    <t xml:space="preserve">EE</t>
  </si>
  <si>
    <t xml:space="preserve">FI</t>
  </si>
  <si>
    <t xml:space="preserve">SE</t>
  </si>
  <si>
    <t xml:space="preserve">CZ-PL</t>
  </si>
  <si>
    <t xml:space="preserve">CH</t>
  </si>
  <si>
    <t xml:space="preserve">CZ-SK</t>
  </si>
  <si>
    <t xml:space="preserve">DK-DE</t>
  </si>
  <si>
    <t xml:space="preserve">FR-CH</t>
  </si>
  <si>
    <t xml:space="preserve">FR-DE</t>
  </si>
  <si>
    <t xml:space="preserve">DE-CH</t>
  </si>
  <si>
    <t xml:space="preserve">IE</t>
  </si>
  <si>
    <t xml:space="preserve">LT</t>
  </si>
  <si>
    <t xml:space="preserve">LV</t>
  </si>
  <si>
    <t xml:space="preserve">ES</t>
  </si>
  <si>
    <t xml:space="preserve">IE-UK</t>
  </si>
  <si>
    <t xml:space="preserve">LV-EE</t>
  </si>
  <si>
    <t xml:space="preserve">GR</t>
  </si>
  <si>
    <t xml:space="preserve">PL-LT</t>
  </si>
  <si>
    <t xml:space="preserve">From</t>
  </si>
  <si>
    <t xml:space="preserve">To</t>
  </si>
  <si>
    <t xml:space="preserve">Parameter</t>
  </si>
  <si>
    <t xml:space="preserve">Unit</t>
  </si>
  <si>
    <t xml:space="preserve">Value</t>
  </si>
  <si>
    <t xml:space="preserve">Reference</t>
  </si>
  <si>
    <t xml:space="preserve">GW</t>
  </si>
  <si>
    <t xml:space="preserve">Candidates</t>
  </si>
</sst>
</file>

<file path=xl/styles.xml><?xml version="1.0" encoding="utf-8"?>
<styleSheet xmlns="http://schemas.openxmlformats.org/spreadsheetml/2006/main">
  <numFmts count="3">
    <numFmt numFmtId="164" formatCode="General"/>
    <numFmt numFmtId="165" formatCode="0.00"/>
    <numFmt numFmtId="166" formatCode="#,##0"/>
  </numFmts>
  <fonts count="19">
    <font>
      <sz val="11"/>
      <color theme="1"/>
      <name val="Calibri"/>
      <family val="2"/>
      <charset val="1"/>
    </font>
    <font>
      <sz val="10"/>
      <name val="Arial"/>
      <family val="0"/>
    </font>
    <font>
      <sz val="10"/>
      <name val="Arial"/>
      <family val="0"/>
    </font>
    <font>
      <sz val="10"/>
      <name val="Arial"/>
      <family val="0"/>
    </font>
    <font>
      <sz val="11"/>
      <color rgb="FF000000"/>
      <name val="Calibri"/>
      <family val="2"/>
      <charset val="1"/>
    </font>
    <font>
      <b val="true"/>
      <i val="true"/>
      <sz val="22"/>
      <color rgb="FF000000"/>
      <name val="Calibri"/>
      <family val="2"/>
      <charset val="1"/>
    </font>
    <font>
      <i val="true"/>
      <sz val="16"/>
      <color theme="1"/>
      <name val="Calibri"/>
      <family val="2"/>
      <charset val="1"/>
    </font>
    <font>
      <sz val="11"/>
      <color rgb="FFFF0000"/>
      <name val="Calibri"/>
      <family val="2"/>
      <charset val="1"/>
    </font>
    <font>
      <sz val="11"/>
      <name val="Calibri"/>
      <family val="2"/>
      <charset val="1"/>
    </font>
    <font>
      <b val="true"/>
      <sz val="11"/>
      <color theme="1"/>
      <name val="Calibri"/>
      <family val="0"/>
    </font>
    <font>
      <sz val="11"/>
      <color rgb="FF000000"/>
      <name val="Times New Roman"/>
      <family val="0"/>
    </font>
    <font>
      <b val="true"/>
      <u val="single"/>
      <sz val="11"/>
      <color theme="1"/>
      <name val="Calibri"/>
      <family val="0"/>
    </font>
    <font>
      <sz val="11"/>
      <color theme="1"/>
      <name val="Calibri"/>
      <family val="0"/>
    </font>
    <font>
      <sz val="11"/>
      <color rgb="FF000000"/>
      <name val="Calibri"/>
      <family val="0"/>
    </font>
    <font>
      <sz val="11"/>
      <color rgb="FFFF0000"/>
      <name val="Calibri"/>
      <family val="0"/>
    </font>
    <font>
      <b val="true"/>
      <sz val="11"/>
      <color rgb="FF000000"/>
      <name val="Calibri"/>
      <family val="2"/>
      <charset val="1"/>
    </font>
    <font>
      <b val="true"/>
      <sz val="11"/>
      <color theme="0"/>
      <name val="Calibri"/>
      <family val="0"/>
    </font>
    <font>
      <sz val="11"/>
      <color theme="0"/>
      <name val="Calibri"/>
      <family val="0"/>
    </font>
    <font>
      <sz val="11"/>
      <color theme="1"/>
      <name val="Calibri"/>
      <family val="2"/>
    </font>
  </fonts>
  <fills count="4">
    <fill>
      <patternFill patternType="none"/>
    </fill>
    <fill>
      <patternFill patternType="gray125"/>
    </fill>
    <fill>
      <patternFill patternType="solid">
        <fgColor rgb="FFFFC000"/>
        <bgColor rgb="FFFF9900"/>
      </patternFill>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2" borderId="0" xfId="0" applyFont="true" applyBorder="tru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right"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4" fillId="0" borderId="0" xfId="20" applyFont="true" applyBorder="false" applyAlignment="true" applyProtection="true">
      <alignment horizontal="general" vertical="bottom" textRotation="0" wrapText="false" indent="0" shrinkToFit="false"/>
      <protection locked="true" hidden="false"/>
    </xf>
    <xf numFmtId="164" fontId="15" fillId="0" borderId="0" xfId="2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15" fillId="0" borderId="1" xfId="20" applyFont="true" applyBorder="true" applyAlignment="true" applyProtection="true">
      <alignment horizontal="center" vertical="top"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true" hidden="false"/>
    </xf>
    <xf numFmtId="166" fontId="4"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3">
    <dxf>
      <fill>
        <patternFill patternType="solid">
          <bgColor rgb="FF000000"/>
        </patternFill>
      </fill>
    </dxf>
    <dxf>
      <fill>
        <patternFill patternType="solid">
          <fgColor rgb="FF000000"/>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5B9BD5"/>
      <rgbColor rgb="FF7030A0"/>
      <rgbColor rgb="FFFBE5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ED7D31"/>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Relationship Id="rId11"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231840</xdr:colOff>
      <xdr:row>1</xdr:row>
      <xdr:rowOff>0</xdr:rowOff>
    </xdr:from>
    <xdr:to>
      <xdr:col>23</xdr:col>
      <xdr:colOff>132120</xdr:colOff>
      <xdr:row>53</xdr:row>
      <xdr:rowOff>141480</xdr:rowOff>
    </xdr:to>
    <xdr:sp>
      <xdr:nvSpPr>
        <xdr:cNvPr id="1" name="TextBox 1"/>
        <xdr:cNvSpPr/>
      </xdr:nvSpPr>
      <xdr:spPr>
        <a:xfrm>
          <a:off x="231840" y="181080"/>
          <a:ext cx="13964760" cy="9552240"/>
        </a:xfrm>
        <a:prstGeom prst="rect">
          <a:avLst/>
        </a:prstGeom>
        <a:solidFill>
          <a:srgbClr val="FBE5D6"/>
        </a:solidFill>
        <a:ln w="9525">
          <a:solidFill>
            <a:srgbClr val="BCBCBC"/>
          </a:solidFill>
          <a:round/>
        </a:ln>
      </xdr:spPr>
      <xdr:style>
        <a:lnRef idx="0"/>
        <a:fillRef idx="0"/>
        <a:effectRef idx="0"/>
        <a:fontRef idx="minor"/>
      </xdr:style>
      <xdr:txBody>
        <a:bodyPr horzOverflow="clip" vertOverflow="clip" lIns="90000" tIns="45000" rIns="90000" bIns="45000" anchor="t">
          <a:noAutofit/>
        </a:bodyPr>
        <a:p>
          <a:pPr>
            <a:lnSpc>
              <a:spcPct val="100000"/>
            </a:lnSpc>
          </a:pPr>
          <a:r>
            <a:rPr lang="en-GB" sz="1100" b="1" u="none" strike="noStrike">
              <a:solidFill>
                <a:schemeClr val="dk1"/>
              </a:solidFill>
              <a:effectLst/>
              <a:uFillTx/>
              <a:latin typeface="Calibri"/>
            </a:rPr>
            <a:t>METHODOLOGY FOR REFERENCE GRID:</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1" u="sng" strike="noStrike">
              <a:solidFill>
                <a:schemeClr val="dk1"/>
              </a:solidFill>
              <a:effectLst/>
              <a:uFillTx/>
              <a:latin typeface="Calibri"/>
            </a:rPr>
            <a:t>Electricity Reference Grid </a:t>
          </a:r>
          <a:endParaRPr lang="en-DK"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In March -April 2023 ENTSO-E collected projects to be included in reference grid for TYNDP 2024 Scenario Building process purposes.</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TYNDP 2022 Project Promoters (both TSOs and third parties) were requested to fill/update the technical information regarding the investments included in their promoted projects, provide the project dNTC impact and point.</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Justification for the given selection according to the 4th CBA Guidelines had to be provided accordingly: https://eepublicdownloads.blob.core.windows.net/public-cdn-container/tyndp-documents/CBA/CBA4/221215_CBA4-Guideline_v1.0_for-public-consultation.pdf </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Based on the guidance given within the 4th CBA Guidelines the reference grid for the 2030 horizon, which corresponds to the mid-term horizon, is based on criteria a) and b) as defined within the 4th CBA Guideline. This means that only projects which, at their time of submission to the TYNDP, are in the construction phase or those which have successfully completed the environmental impact assessment could be part of the 2030 reference grid.</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In addition to the above given maturity criteria, a cut-off for the commissioning years has been set. This choice deals with the uncertainties in the planning and construction, ensuring that only projects with a strong chance of being commissioned at the dates of the respective scenarios are part of the reference grid. The cut-off has been set to 31 December 2030 for the mid-term horizon (2030) and 31 December 2035 for the long-term horizon (2040), excluding all projects with planned commissioning dates later than these cut-offs. </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1" u="sng" strike="noStrike">
              <a:solidFill>
                <a:schemeClr val="dk1"/>
              </a:solidFill>
              <a:effectLst/>
              <a:uFillTx/>
              <a:latin typeface="Calibri"/>
            </a:rPr>
            <a:t>Hydrogen Reference Grid </a:t>
          </a:r>
          <a:endParaRPr lang="en-DK"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This file gathers the hydrogen reference grid, that is, all cross-border transmission (or, interconnector) capacities across Europe, according to the data that member TSOs have for 2030. The aforementioned year is the only one for which a reference grid is provided, as 2030 is the starting point for the DE/GA scenarios. After 2030, investment can happen in transmission candidate projects, which are gathered in a separate file.</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The columns of these files are as follows:</a:t>
          </a:r>
          <a:endParaRPr lang="en-DK"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 Border --- the border on which the interconnector is found (note that the nodes linked by interconnector keep the ISO2 naming convention)</a:t>
          </a:r>
          <a:endParaRPr lang="en-DK"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 Summary Direction 1 --- capacity of interconnector (GW) in the direction listed in the index, e.g., AT to DE</a:t>
          </a:r>
          <a:endParaRPr lang="en-DK"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 Summary Direction 2 --- capacity of interconnector (GW) in the direction opposite to the one found in the index, e.g., DE to AT</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1" u="none" strike="noStrike">
              <a:solidFill>
                <a:schemeClr val="dk1"/>
              </a:solidFill>
              <a:effectLst/>
              <a:uFillTx/>
              <a:latin typeface="Calibri"/>
            </a:rPr>
            <a:t>METHODOLOGY FOR THE INVESTMENT CANDIDATES:</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1" u="sng" strike="noStrike">
              <a:solidFill>
                <a:schemeClr val="dk1"/>
              </a:solidFill>
              <a:effectLst/>
              <a:uFillTx/>
              <a:latin typeface="Calibri"/>
            </a:rPr>
            <a:t>Electricity Investment Candidates with ENTSO-E's cost methodology</a:t>
          </a:r>
          <a:r>
            <a:rPr lang="en-GB" sz="1100" b="0" u="none" strike="noStrike">
              <a:solidFill>
                <a:schemeClr val="dk1"/>
              </a:solidFill>
              <a:effectLst/>
              <a:uFillTx/>
              <a:latin typeface="Calibri"/>
            </a:rPr>
            <a:t>:</a:t>
          </a:r>
          <a:endParaRPr lang="en-DK"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The electricity infrastructure investment candidates were prepared in 2-step approach.  </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In the first step the existing projects from the already published TYNDP list were used with their economic parameters (CAPEX, OPEX, transfer capacity Impact). Those candidates constitute very reliable base for the system needs studies together with scenario building process, as these projects were analyzed within the TYNDP CBA phase and were consulted with ACER and European NRAs. </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In the second phase, project promoters from the last already published TYNDP cycle were given an opportunity to submit new candidates. Most of such candidates were submitted by ENTSO-E TSOs with clear distinguished economic parameters. CAPEX for such projects also had to include the costs of the internal reinforcements that are accompanying the project implementation. As the important step, TSOs had opportunity to add additional costs associated with internal reinforcements for the projects that were submitted by 3rd party organizations. This step is very logical, considering the deep knowledge of the national network by given TSOs. </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It is important to note that all the conceptual projects (not yet submitted in ENTSO-E TYNDP cycle) are those candidates for which TSOs were already investigating the possibility of potential new interconnection, therefore, economic parameters of such project candidates could be to some degree uncertain but very probable and technically justifiable. In some cases, even preliminary technical studies were performed to analyze potential new connections. </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1" u="sng" strike="noStrike">
              <a:solidFill>
                <a:schemeClr val="dk1"/>
              </a:solidFill>
              <a:effectLst/>
              <a:uFillTx/>
              <a:latin typeface="Calibri"/>
            </a:rPr>
            <a:t>Hydrogen Investment Candidates with ENTSOG's cost methodology </a:t>
          </a:r>
          <a:r>
            <a:rPr lang="en-GB" sz="1100" b="1" u="none" strike="noStrike">
              <a:solidFill>
                <a:schemeClr val="dk1"/>
              </a:solidFill>
              <a:effectLst/>
              <a:uFillTx/>
              <a:latin typeface="Calibri"/>
            </a:rPr>
            <a:t>(updated after consultation)</a:t>
          </a:r>
          <a:r>
            <a:rPr lang="en-GB" sz="1100" b="0" u="none" strike="noStrike">
              <a:solidFill>
                <a:schemeClr val="dk1"/>
              </a:solidFill>
              <a:effectLst/>
              <a:uFillTx/>
              <a:latin typeface="Calibri"/>
            </a:rPr>
            <a:t>:</a:t>
          </a:r>
          <a:endParaRPr lang="en-DK" sz="1100" b="0" u="none" strike="noStrike">
            <a:effectLst/>
            <a:uFillTx/>
            <a:latin typeface="Times New Roman"/>
          </a:endParaRPr>
        </a:p>
        <a:p>
          <a:pPr>
            <a:lnSpc>
              <a:spcPct val="100000"/>
            </a:lnSpc>
          </a:pPr>
          <a:r>
            <a:rPr lang="en-GB" sz="1100" b="0" u="none" strike="noStrike">
              <a:solidFill>
                <a:srgbClr val="000000"/>
              </a:solidFill>
              <a:effectLst/>
              <a:uFillTx/>
              <a:latin typeface="Calibri"/>
            </a:rPr>
            <a:t>In the TYNDP 2022, each target year (2030, 2040, 2050) has 2 infrastructure levels available a "low infrastructure level" and a "high infrastructure level". The "Low infrastrucuture level" is a collection of projects submitted to the first hydrogen TYNDP in 2022. An approach based on project status (as was used for the methane TYNDP) is not a meaningful KPI when developing infrastructure from inauguration. the "high infrastructure level" includes additional cross border capacities submitted by TSOs to ENTSOG's H2 Taskforce. </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rgbClr val="000000"/>
              </a:solidFill>
              <a:effectLst/>
              <a:uFillTx/>
              <a:latin typeface="Calibri"/>
            </a:rPr>
            <a:t>The hydrogen candidate projects used are based on the difference in pipeline capacity between "low infrastructure level" and "high infrastructure level", for each target year. </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rgbClr val="FF0000"/>
              </a:solidFill>
              <a:effectLst/>
              <a:uFillTx/>
              <a:latin typeface="Calibri"/>
            </a:rPr>
            <a:t>Infrastructure costs must then be considered for the expansion of hydrogen pipeline. As there is almost no real world data for this, the cost are based on external studies. The main study used is the 'European Hydrogen Backbone" studies. The methodology followed based on this study is, CAPEX cost are split between repurposed and new hydrogen pipeline with a split of 60% to 40% respectively. A distance must also be considered, in this case either the default distance of 30% of the distance from capital to capital is used, referencing a distance related dataset from ewi study on the cost of H2 imports to the EU, or a different distance provided by the TSO to include a country specific viw that is not captured by the general methodology.</a:t>
          </a:r>
          <a:endParaRPr lang="en-DK"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12</xdr:col>
      <xdr:colOff>568440</xdr:colOff>
      <xdr:row>1</xdr:row>
      <xdr:rowOff>162000</xdr:rowOff>
    </xdr:from>
    <xdr:to>
      <xdr:col>22</xdr:col>
      <xdr:colOff>126360</xdr:colOff>
      <xdr:row>20</xdr:row>
      <xdr:rowOff>17640</xdr:rowOff>
    </xdr:to>
    <xdr:sp>
      <xdr:nvSpPr>
        <xdr:cNvPr id="2" name="Rectangle 1"/>
        <xdr:cNvSpPr/>
      </xdr:nvSpPr>
      <xdr:spPr>
        <a:xfrm>
          <a:off x="10833840" y="343080"/>
          <a:ext cx="5774760" cy="3294000"/>
        </a:xfrm>
        <a:prstGeom prst="rect">
          <a:avLst/>
        </a:prstGeom>
        <a:solidFill>
          <a:srgbClr val="2F5597"/>
        </a:solidFill>
        <a:ln w="12700">
          <a:solidFill>
            <a:srgbClr val="27435D"/>
          </a:solidFill>
          <a:miter/>
        </a:ln>
      </xdr:spPr>
      <xdr:style>
        <a:lnRef idx="2">
          <a:schemeClr val="accent1">
            <a:shade val="15000"/>
          </a:schemeClr>
        </a:lnRef>
        <a:fillRef idx="1">
          <a:schemeClr val="accent1"/>
        </a:fillRef>
        <a:effectRef idx="0">
          <a:schemeClr val="accent1"/>
        </a:effectRef>
        <a:fontRef idx="minor"/>
      </xdr:style>
      <xdr:txBody>
        <a:bodyPr horzOverflow="clip" vertOverflow="clip" lIns="90000" tIns="45000" rIns="90000" bIns="45000" anchor="t">
          <a:noAutofit/>
        </a:bodyPr>
        <a:p>
          <a:pPr>
            <a:lnSpc>
              <a:spcPct val="100000"/>
            </a:lnSpc>
          </a:pPr>
          <a:r>
            <a:rPr lang="en-GB" sz="1100" b="1" u="none" strike="noStrike">
              <a:solidFill>
                <a:schemeClr val="lt1"/>
              </a:solidFill>
              <a:effectLst/>
              <a:uFillTx/>
              <a:latin typeface="Calibri"/>
            </a:rPr>
            <a:t>Readme:</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This file gathers the electricity reference grid, that is, all cross-border transmission (or, interconnector) capacities across Europe, according to the data that member TSOs have for 2030. The aforementioned year is the only one for which a reference grid is provided, as 2030 is the starting point for the DE/GA scenarios. After 2030, investment can happen in transmission candidate projects, which are gathered in a separate file.</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The columns of these files are as follows:</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Border --- the border on which the interconnector is found (note that the nodes linked by interconnector keep the naming convention of the ENTSO-E market nodes)</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Summary Direction 1 --- capacity of interconnector (MW) in the direction listed in the index, e.g., AL00 to GR00</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Summary Direction 2 --- capacity of interconnector (MW) in the direction opposite to the one found in the index, e.g., GR00 to AL00</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4</xdr:col>
      <xdr:colOff>19080</xdr:colOff>
      <xdr:row>1</xdr:row>
      <xdr:rowOff>57240</xdr:rowOff>
    </xdr:from>
    <xdr:to>
      <xdr:col>12</xdr:col>
      <xdr:colOff>465480</xdr:colOff>
      <xdr:row>18</xdr:row>
      <xdr:rowOff>55800</xdr:rowOff>
    </xdr:to>
    <xdr:sp>
      <xdr:nvSpPr>
        <xdr:cNvPr id="3" name="Rectangle 1"/>
        <xdr:cNvSpPr/>
      </xdr:nvSpPr>
      <xdr:spPr>
        <a:xfrm>
          <a:off x="5157360" y="238320"/>
          <a:ext cx="5419800" cy="3075120"/>
        </a:xfrm>
        <a:prstGeom prst="rect">
          <a:avLst/>
        </a:prstGeom>
        <a:solidFill>
          <a:srgbClr val="2F5597"/>
        </a:solidFill>
        <a:ln w="12700">
          <a:solidFill>
            <a:srgbClr val="27435D"/>
          </a:solidFill>
          <a:miter/>
        </a:ln>
      </xdr:spPr>
      <xdr:style>
        <a:lnRef idx="2">
          <a:schemeClr val="accent1">
            <a:shade val="15000"/>
          </a:schemeClr>
        </a:lnRef>
        <a:fillRef idx="1">
          <a:schemeClr val="accent1"/>
        </a:fillRef>
        <a:effectRef idx="0">
          <a:schemeClr val="accent1"/>
        </a:effectRef>
        <a:fontRef idx="minor"/>
      </xdr:style>
      <xdr:txBody>
        <a:bodyPr horzOverflow="clip" vertOverflow="clip" lIns="90000" tIns="45000" rIns="90000" bIns="45000" anchor="t">
          <a:noAutofit/>
        </a:bodyPr>
        <a:p>
          <a:pPr>
            <a:lnSpc>
              <a:spcPct val="100000"/>
            </a:lnSpc>
          </a:pPr>
          <a:r>
            <a:rPr lang="en-GB" sz="1100" b="1" u="none" strike="noStrike">
              <a:solidFill>
                <a:schemeClr val="lt1"/>
              </a:solidFill>
              <a:effectLst/>
              <a:uFillTx/>
              <a:latin typeface="Calibri"/>
            </a:rPr>
            <a:t>Readme:</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This file gathers the hydrogen reference grid, that is, all cross-border transmission (or, interconnector) capacities across Europe, according to the data that member TSOs have for 2030. The aforementioned year is the only one for which a reference grid is provided, as 2030 is the starting point for the DE/GA scenarios. After 2030, investment can happen in transmission candidate projects, which are gathered in a separate file.</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The columns of these files are as follows:</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Border --- the border on which the interconnector is found (note that the nodes linked by interconnector keep the ISO2 naming convention)</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Summary Direction 1 --- capacity of interconnector (GW) in the direction listed in the index, e.g., AT to DE</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Summary Direction 2 --- capacity of interconnector (GW) in the direction opposite to the one found in the index, e.g., DE to AT</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absolute">
    <xdr:from>
      <xdr:col>9</xdr:col>
      <xdr:colOff>504720</xdr:colOff>
      <xdr:row>3</xdr:row>
      <xdr:rowOff>142920</xdr:rowOff>
    </xdr:from>
    <xdr:to>
      <xdr:col>20</xdr:col>
      <xdr:colOff>138240</xdr:colOff>
      <xdr:row>46</xdr:row>
      <xdr:rowOff>33480</xdr:rowOff>
    </xdr:to>
    <xdr:sp>
      <xdr:nvSpPr>
        <xdr:cNvPr id="4" name="Rectangle 1" hidden="1"/>
        <xdr:cNvSpPr/>
      </xdr:nvSpPr>
      <xdr:spPr>
        <a:xfrm>
          <a:off x="9137520" y="504720"/>
          <a:ext cx="6360120" cy="6405840"/>
        </a:xfrm>
        <a:prstGeom prst="rect">
          <a:avLst/>
        </a:prstGeom>
        <a:solidFill>
          <a:srgbClr val="2F5597"/>
        </a:solidFill>
        <a:ln w="12700">
          <a:solidFill>
            <a:srgbClr val="27435D"/>
          </a:solidFill>
          <a:miter/>
        </a:ln>
      </xdr:spPr>
      <xdr:style>
        <a:lnRef idx="2">
          <a:schemeClr val="accent1">
            <a:shade val="15000"/>
          </a:schemeClr>
        </a:lnRef>
        <a:fillRef idx="1">
          <a:schemeClr val="accent1"/>
        </a:fillRef>
        <a:effectRef idx="0">
          <a:schemeClr val="accent1"/>
        </a:effectRef>
        <a:fontRef idx="minor"/>
      </xdr:style>
      <xdr:txBody>
        <a:bodyPr horzOverflow="clip" vertOverflow="clip" lIns="90000" tIns="45000" rIns="90000" bIns="45000" anchor="t">
          <a:noAutofit/>
        </a:bodyPr>
        <a:p>
          <a:pPr>
            <a:lnSpc>
              <a:spcPct val="100000"/>
            </a:lnSpc>
          </a:pPr>
          <a:r>
            <a:rPr lang="en-GB" sz="1100" b="1" u="none" strike="noStrike">
              <a:solidFill>
                <a:schemeClr val="lt1"/>
              </a:solidFill>
              <a:effectLst/>
              <a:uFillTx/>
              <a:latin typeface="Calibri"/>
            </a:rPr>
            <a:t>Readme:</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This file gathers the expansion candidates for electricity transmission across Europe, according to the data that member TSOs provided for the time horizon between 2035 and 2050.</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In essence, there are two types of investment candidates in the electricity grid:</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"Real" projects --- these are projects that</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a:t>
          </a:r>
          <a:r>
            <a:rPr lang="en-GB" sz="1100" b="0" u="none" strike="noStrike">
              <a:solidFill>
                <a:schemeClr val="lt1"/>
              </a:solidFill>
              <a:effectLst/>
              <a:uFillTx/>
              <a:latin typeface="Calibri"/>
            </a:rPr>
            <a:t>      - have been investigated in the previous TYNDP cycle</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a:t>
          </a:r>
          <a:r>
            <a:rPr lang="en-GB" sz="1100" b="0" u="none" strike="noStrike">
              <a:solidFill>
                <a:schemeClr val="lt1"/>
              </a:solidFill>
              <a:effectLst/>
              <a:uFillTx/>
              <a:latin typeface="Calibri"/>
            </a:rPr>
            <a:t>      - are usually expected to be commissioned in a nearer future</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a:t>
          </a:r>
          <a:r>
            <a:rPr lang="en-GB" sz="1100" b="0" u="none" strike="noStrike">
              <a:solidFill>
                <a:schemeClr val="lt1"/>
              </a:solidFill>
              <a:effectLst/>
              <a:uFillTx/>
              <a:latin typeface="Calibri"/>
            </a:rPr>
            <a:t>      - have more certain technical and economic characteristics</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"Concept" projects --- usually reflecting projects whose</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a:t>
          </a:r>
          <a:r>
            <a:rPr lang="en-GB" sz="1100" b="0" u="none" strike="noStrike">
              <a:solidFill>
                <a:schemeClr val="lt1"/>
              </a:solidFill>
              <a:effectLst/>
              <a:uFillTx/>
              <a:latin typeface="Calibri"/>
            </a:rPr>
            <a:t>      - expected commissioning date is after 2040</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a:t>
          </a:r>
          <a:r>
            <a:rPr lang="en-GB" sz="1100" b="0" u="none" strike="noStrike">
              <a:solidFill>
                <a:schemeClr val="lt1"/>
              </a:solidFill>
              <a:effectLst/>
              <a:uFillTx/>
              <a:latin typeface="Calibri"/>
            </a:rPr>
            <a:t>      - technical and economic parameters are less certain</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a:t>
          </a:r>
          <a:r>
            <a:rPr lang="en-GB" sz="1100" b="0" u="none" strike="noStrike">
              <a:solidFill>
                <a:schemeClr val="lt1"/>
              </a:solidFill>
              <a:effectLst/>
              <a:uFillTx/>
              <a:latin typeface="Calibri"/>
            </a:rPr>
            <a:t>      - incremental capacity adds to borders with already existing transmission capacity</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The columns of these files are as follows:</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Border --- the border on which the interconnector is found (note that the nodes linked by interconnector keep the ENTSO-E market node naming convention). Multiple projects can occur on one border, an aspect reflected in the suffix of their name, e.g., "Real 1", "Real 2". The difference between "Real" and "Concept" projects is detailed above.</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From node --- source node</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To node --- sink node</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Year --- the year in which the project becomes available for the expansion planning problem, i.e., one of the five target years modelled (2030, 2035, 2040, 2045, 2050)</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Scenario --- scenario to which the investment candidate applies</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Direct Capacity Increase --- incremental capacity of interconnector in the direction listed in the index, e.g., AT00 to ITN1</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Indirect Capacity Increase --- increamental capacity of interconnector in the direction opposite to the one found in the index, e.g., ITN1 to AT00</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CAPEX --- capital cost of the interconnector, accounting for both its length and capacity (incl. cost of internal reinforcement of transmission grid)</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The expansion methodology considers all the listed candidates as discrete investment decisions, however the solution method assumes a linear relaxation, i.e., any share of the installed capacity in the [0,1] interval can be part of the expansion planning problem solution.</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xdr:txBody>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8</xdr:col>
      <xdr:colOff>380880</xdr:colOff>
      <xdr:row>0</xdr:row>
      <xdr:rowOff>133200</xdr:rowOff>
    </xdr:from>
    <xdr:to>
      <xdr:col>16</xdr:col>
      <xdr:colOff>318960</xdr:colOff>
      <xdr:row>28</xdr:row>
      <xdr:rowOff>149400</xdr:rowOff>
    </xdr:to>
    <xdr:sp>
      <xdr:nvSpPr>
        <xdr:cNvPr id="5" name="Rectangle 1"/>
        <xdr:cNvSpPr/>
      </xdr:nvSpPr>
      <xdr:spPr>
        <a:xfrm>
          <a:off x="6621840" y="133200"/>
          <a:ext cx="6394680" cy="5083560"/>
        </a:xfrm>
        <a:prstGeom prst="rect">
          <a:avLst/>
        </a:prstGeom>
        <a:solidFill>
          <a:srgbClr val="2F5597"/>
        </a:solidFill>
        <a:ln w="12700">
          <a:solidFill>
            <a:srgbClr val="27435D"/>
          </a:solidFill>
          <a:miter/>
        </a:ln>
      </xdr:spPr>
      <xdr:style>
        <a:lnRef idx="2">
          <a:schemeClr val="accent1">
            <a:shade val="15000"/>
          </a:schemeClr>
        </a:lnRef>
        <a:fillRef idx="1">
          <a:schemeClr val="accent1"/>
        </a:fillRef>
        <a:effectRef idx="0">
          <a:schemeClr val="accent1"/>
        </a:effectRef>
        <a:fontRef idx="minor"/>
      </xdr:style>
      <xdr:txBody>
        <a:bodyPr horzOverflow="clip" vertOverflow="clip" lIns="90000" tIns="45000" rIns="90000" bIns="45000" anchor="t">
          <a:noAutofit/>
        </a:bodyPr>
        <a:p>
          <a:pPr>
            <a:lnSpc>
              <a:spcPct val="100000"/>
            </a:lnSpc>
          </a:pPr>
          <a:r>
            <a:rPr lang="en-GB" sz="1100" b="1" u="none" strike="noStrike">
              <a:solidFill>
                <a:schemeClr val="lt1"/>
              </a:solidFill>
              <a:effectLst/>
              <a:uFillTx/>
              <a:latin typeface="Calibri"/>
            </a:rPr>
            <a:t>Readme:</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This file gathers the expansion candidates for hydrogen transmission across Europe, according to the data that member TSOs provided for the time horizon between 2035 and 2050.</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In essence, the hydrogen candidate projects that are made available in 2030 are associated with ENTSOG's "low infrastructure level" - a pre-defined level of the hydrogen transmission grid accounting for the cross-border interconnection projects with higher probability of getting commissioned. On the other hand, the projects available for expansion after 2040 are assocaited with ENTSOG's "high infrastructure level", where less certain candidates are also accounted for.</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The columns of these files are as follows:</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Border --- the border on which the interconnector is found (note that the nodes linked by interconnector keep the ISO2 naming convention)</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From node --- source node</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To node --- sink node</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Year --- the year in which the project becomes available for the expansion planning problem, i.e., one of the five target years modelled (2030, 2035, 2040, 2045, 2050)</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Scenario --- scenario to which the investment candidate applies</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Direct Capacity Increase --- incremental capacity of interconnector in the direction listed in the index, e.g., AT-IT</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Indirect Capacity Increase --- increamental capacity of interconnector in the direction opposite to the one found in the index, e.g., IT-AT</a:t>
          </a:r>
          <a:endParaRPr lang="en-DK" sz="1100" b="0" u="none" strike="noStrike">
            <a:effectLst/>
            <a:uFillTx/>
            <a:latin typeface="Times New Roman"/>
          </a:endParaRPr>
        </a:p>
        <a:p>
          <a:pPr>
            <a:lnSpc>
              <a:spcPct val="100000"/>
            </a:lnSpc>
          </a:pPr>
          <a:r>
            <a:rPr lang="en-GB" sz="1100" b="0" u="none" strike="noStrike">
              <a:solidFill>
                <a:schemeClr val="lt1"/>
              </a:solidFill>
              <a:effectLst/>
              <a:uFillTx/>
              <a:latin typeface="Calibri"/>
            </a:rPr>
            <a:t>- CAPEX --- capital cost of the interconnector, accounting for both its length and capacity</a:t>
          </a:r>
          <a:endParaRPr lang="en-DK" sz="1100" b="0" u="none" strike="noStrike">
            <a:effectLst/>
            <a:uFillTx/>
            <a:latin typeface="Times New Roman"/>
          </a:endParaRPr>
        </a:p>
        <a:p>
          <a:pPr>
            <a:lnSpc>
              <a:spcPct val="100000"/>
            </a:lnSpc>
          </a:pPr>
          <a:endParaRPr lang="en-DK" sz="1100" b="0" u="none" strike="noStrike">
            <a:effectLst/>
            <a:uFillTx/>
            <a:latin typeface="Times New Roman"/>
          </a:endParaRPr>
        </a:p>
        <a:p>
          <a:pPr defTabSz="914400">
            <a:lnSpc>
              <a:spcPct val="100000"/>
            </a:lnSpc>
            <a:tabLst>
              <a:tab pos="0" algn="l"/>
            </a:tabLst>
          </a:pPr>
          <a:r>
            <a:rPr lang="en-GB" sz="1100" b="0" u="none" strike="noStrike">
              <a:solidFill>
                <a:schemeClr val="lt1"/>
              </a:solidFill>
              <a:effectLst/>
              <a:uFillTx/>
              <a:latin typeface="Calibri"/>
            </a:rPr>
            <a:t>The expansion methodology considers all the listed candidates as discrete investment decisions, however the solution method assumes a linear relaxation, i.e., any share of the installed capacity in the [0,1] interval can be part of the expansion planning problem solution.</a:t>
          </a:r>
          <a:endParaRPr lang="en-DK" sz="1100" b="0" u="none" strike="noStrike">
            <a:effectLst/>
            <a:uFillTx/>
            <a:latin typeface="Times New Roman"/>
          </a:endParaRPr>
        </a:p>
        <a:p>
          <a:pPr defTabSz="914400">
            <a:lnSpc>
              <a:spcPct val="100000"/>
            </a:lnSpc>
            <a:tabLst>
              <a:tab pos="0" algn="l"/>
            </a:tabLst>
          </a:pPr>
          <a:endParaRPr lang="en-DK" sz="1100" b="0" u="none" strike="noStrike">
            <a:effectLst/>
            <a:uFillTx/>
            <a:latin typeface="Times New Roman"/>
          </a:endParaRPr>
        </a:p>
      </xdr:txBody>
    </xdr: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E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B7" activeCellId="0" sqref="B7"/>
    </sheetView>
  </sheetViews>
  <sheetFormatPr defaultColWidth="8.6796875" defaultRowHeight="15" customHeight="true" zeroHeight="false" outlineLevelRow="0" outlineLevelCol="0"/>
  <cols>
    <col collapsed="false" customWidth="true" hidden="false" outlineLevel="0" max="2" min="2" style="1" width="64.45"/>
  </cols>
  <sheetData>
    <row r="1" customFormat="false" ht="15" hidden="false" customHeight="true" outlineLevel="0" collapsed="false">
      <c r="B1" s="2" t="s">
        <v>0</v>
      </c>
    </row>
    <row r="2" customFormat="false" ht="15" hidden="false" customHeight="false" outlineLevel="0" collapsed="false">
      <c r="B2" s="2"/>
    </row>
    <row r="3" customFormat="false" ht="36" hidden="false" customHeight="true" outlineLevel="0" collapsed="false">
      <c r="B3" s="2"/>
    </row>
    <row r="5" customFormat="false" ht="19.7" hidden="false" customHeight="false" outlineLevel="0" collapsed="false">
      <c r="A5" s="3" t="s">
        <v>1</v>
      </c>
      <c r="B5" s="4" t="s">
        <v>2</v>
      </c>
    </row>
    <row r="6" customFormat="false" ht="19.7" hidden="false" customHeight="false" outlineLevel="0" collapsed="false">
      <c r="A6" s="4" t="n">
        <v>1</v>
      </c>
      <c r="B6" s="4" t="s">
        <v>3</v>
      </c>
    </row>
    <row r="7" customFormat="false" ht="19.7" hidden="false" customHeight="false" outlineLevel="0" collapsed="false">
      <c r="A7" s="4" t="n">
        <v>2</v>
      </c>
      <c r="B7" s="4" t="s">
        <v>4</v>
      </c>
      <c r="E7" s="5"/>
    </row>
    <row r="8" customFormat="false" ht="19.7" hidden="false" customHeight="false" outlineLevel="0" collapsed="false">
      <c r="A8" s="4" t="n">
        <v>3</v>
      </c>
      <c r="B8" s="4" t="s">
        <v>5</v>
      </c>
    </row>
    <row r="9" customFormat="false" ht="19.7" hidden="false" customHeight="false" outlineLevel="0" collapsed="false">
      <c r="A9" s="4" t="n">
        <v>4</v>
      </c>
      <c r="B9" s="4" t="s">
        <v>6</v>
      </c>
      <c r="E9" s="6"/>
    </row>
  </sheetData>
  <mergeCells count="1">
    <mergeCell ref="B1:B3"/>
  </mergeCell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ISC - Uso INTERNO / INTERNAL Use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BE5D6"/>
    <pageSetUpPr fitToPage="false"/>
  </sheetPr>
  <dimension ref="A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L60" activeCellId="0" sqref="L60"/>
    </sheetView>
  </sheetViews>
  <sheetFormatPr defaultColWidth="8.6796875" defaultRowHeight="14.25" customHeight="false"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A1:C152"/>
  <sheetViews>
    <sheetView showFormulas="false" showGridLines="true" showRowColHeaders="true" showZeros="true" rightToLeft="false" tabSelected="false" showOutlineSymbols="true" defaultGridColor="true" view="normal" topLeftCell="A19" colorId="64" zoomScale="90" zoomScaleNormal="90" zoomScalePageLayoutView="100" workbookViewId="0">
      <selection pane="topLeft" activeCell="A44" activeCellId="0" sqref="A44"/>
    </sheetView>
  </sheetViews>
  <sheetFormatPr defaultColWidth="8.82421875" defaultRowHeight="14.25" customHeight="false" zeroHeight="false" outlineLevelRow="0" outlineLevelCol="0"/>
  <cols>
    <col collapsed="false" customWidth="true" hidden="false" outlineLevel="0" max="1" min="1" style="7" width="12.54"/>
    <col collapsed="false" customWidth="true" hidden="false" outlineLevel="0" max="2" min="2" style="7" width="26.54"/>
    <col collapsed="false" customWidth="true" hidden="false" outlineLevel="0" max="3" min="3" style="7" width="27.18"/>
    <col collapsed="false" customWidth="false" hidden="false" outlineLevel="0" max="16384" min="4" style="7" width="8.82"/>
  </cols>
  <sheetData>
    <row r="1" customFormat="false" ht="14.25" hidden="false" customHeight="false" outlineLevel="0" collapsed="false">
      <c r="A1" s="8" t="s">
        <v>7</v>
      </c>
      <c r="B1" s="8" t="s">
        <v>8</v>
      </c>
      <c r="C1" s="8" t="s">
        <v>9</v>
      </c>
    </row>
    <row r="2" customFormat="false" ht="14.25" hidden="false" customHeight="false" outlineLevel="0" collapsed="false">
      <c r="A2" s="9" t="s">
        <v>10</v>
      </c>
      <c r="B2" s="9" t="n">
        <v>600</v>
      </c>
      <c r="C2" s="9" t="n">
        <v>600</v>
      </c>
    </row>
    <row r="3" customFormat="false" ht="14.25" hidden="false" customHeight="false" outlineLevel="0" collapsed="false">
      <c r="A3" s="9" t="s">
        <v>11</v>
      </c>
      <c r="B3" s="9" t="n">
        <v>400</v>
      </c>
      <c r="C3" s="9" t="n">
        <v>400</v>
      </c>
    </row>
    <row r="4" customFormat="false" ht="14.25" hidden="false" customHeight="false" outlineLevel="0" collapsed="false">
      <c r="A4" s="9" t="s">
        <v>12</v>
      </c>
      <c r="B4" s="9" t="n">
        <v>500</v>
      </c>
      <c r="C4" s="9" t="n">
        <v>500</v>
      </c>
    </row>
    <row r="5" customFormat="false" ht="14.25" hidden="false" customHeight="false" outlineLevel="0" collapsed="false">
      <c r="A5" s="9" t="s">
        <v>13</v>
      </c>
      <c r="B5" s="9" t="n">
        <v>250</v>
      </c>
      <c r="C5" s="9" t="n">
        <v>250</v>
      </c>
    </row>
    <row r="6" customFormat="false" ht="14.25" hidden="false" customHeight="false" outlineLevel="0" collapsed="false">
      <c r="A6" s="9" t="s">
        <v>14</v>
      </c>
      <c r="B6" s="9" t="n">
        <v>1200</v>
      </c>
      <c r="C6" s="9" t="n">
        <v>1200</v>
      </c>
    </row>
    <row r="7" customFormat="false" ht="14.25" hidden="false" customHeight="false" outlineLevel="0" collapsed="false">
      <c r="A7" s="9" t="s">
        <v>15</v>
      </c>
      <c r="B7" s="9" t="n">
        <v>900</v>
      </c>
      <c r="C7" s="9" t="n">
        <v>900</v>
      </c>
    </row>
    <row r="8" customFormat="false" ht="14.25" hidden="false" customHeight="false" outlineLevel="0" collapsed="false">
      <c r="A8" s="9" t="s">
        <v>16</v>
      </c>
      <c r="B8" s="9" t="n">
        <v>7500</v>
      </c>
      <c r="C8" s="9" t="n">
        <v>7500</v>
      </c>
    </row>
    <row r="9" customFormat="false" ht="14.25" hidden="false" customHeight="false" outlineLevel="0" collapsed="false">
      <c r="A9" s="9" t="s">
        <v>17</v>
      </c>
      <c r="B9" s="9" t="n">
        <v>800</v>
      </c>
      <c r="C9" s="9" t="n">
        <v>800</v>
      </c>
    </row>
    <row r="10" customFormat="false" ht="14.25" hidden="false" customHeight="false" outlineLevel="0" collapsed="false">
      <c r="A10" s="9" t="s">
        <v>18</v>
      </c>
      <c r="B10" s="9" t="n">
        <v>875</v>
      </c>
      <c r="C10" s="9" t="n">
        <v>695</v>
      </c>
    </row>
    <row r="11" customFormat="false" ht="14.25" hidden="false" customHeight="false" outlineLevel="0" collapsed="false">
      <c r="A11" s="9" t="s">
        <v>19</v>
      </c>
      <c r="B11" s="9" t="n">
        <v>950</v>
      </c>
      <c r="C11" s="9" t="n">
        <v>950</v>
      </c>
    </row>
    <row r="12" customFormat="false" ht="14.25" hidden="false" customHeight="false" outlineLevel="0" collapsed="false">
      <c r="A12" s="9" t="s">
        <v>20</v>
      </c>
      <c r="B12" s="9" t="n">
        <v>0</v>
      </c>
      <c r="C12" s="9" t="n">
        <v>0</v>
      </c>
    </row>
    <row r="13" customFormat="false" ht="14.25" hidden="false" customHeight="false" outlineLevel="0" collapsed="false">
      <c r="A13" s="9" t="s">
        <v>21</v>
      </c>
      <c r="B13" s="9" t="n">
        <v>900</v>
      </c>
      <c r="C13" s="9" t="n">
        <v>800</v>
      </c>
    </row>
    <row r="14" customFormat="false" ht="14.25" hidden="false" customHeight="false" outlineLevel="0" collapsed="false">
      <c r="A14" s="9" t="s">
        <v>22</v>
      </c>
      <c r="B14" s="9" t="n">
        <v>500</v>
      </c>
      <c r="C14" s="9" t="n">
        <v>500</v>
      </c>
    </row>
    <row r="15" customFormat="false" ht="14.25" hidden="false" customHeight="false" outlineLevel="0" collapsed="false">
      <c r="A15" s="9" t="s">
        <v>23</v>
      </c>
      <c r="B15" s="9" t="n">
        <v>1640</v>
      </c>
      <c r="C15" s="9" t="n">
        <v>1680</v>
      </c>
    </row>
    <row r="16" customFormat="false" ht="14.25" hidden="false" customHeight="false" outlineLevel="0" collapsed="false">
      <c r="A16" s="9" t="s">
        <v>24</v>
      </c>
      <c r="B16" s="9" t="n">
        <v>1000</v>
      </c>
      <c r="C16" s="9" t="n">
        <v>1000</v>
      </c>
    </row>
    <row r="17" customFormat="false" ht="14.25" hidden="false" customHeight="false" outlineLevel="0" collapsed="false">
      <c r="A17" s="9" t="s">
        <v>25</v>
      </c>
      <c r="B17" s="9" t="n">
        <v>2800</v>
      </c>
      <c r="C17" s="9" t="n">
        <v>4300</v>
      </c>
    </row>
    <row r="18" customFormat="false" ht="14.25" hidden="false" customHeight="false" outlineLevel="0" collapsed="false">
      <c r="A18" s="9" t="s">
        <v>26</v>
      </c>
      <c r="B18" s="9" t="n">
        <v>380</v>
      </c>
      <c r="C18" s="9" t="n">
        <v>0</v>
      </c>
    </row>
    <row r="19" customFormat="false" ht="14.25" hidden="false" customHeight="false" outlineLevel="0" collapsed="false">
      <c r="A19" s="9" t="s">
        <v>27</v>
      </c>
      <c r="B19" s="9" t="n">
        <v>300</v>
      </c>
      <c r="C19" s="9" t="n">
        <v>180</v>
      </c>
    </row>
    <row r="20" customFormat="false" ht="14.25" hidden="false" customHeight="false" outlineLevel="0" collapsed="false">
      <c r="A20" s="9" t="s">
        <v>28</v>
      </c>
      <c r="B20" s="9" t="n">
        <v>3400</v>
      </c>
      <c r="C20" s="9" t="n">
        <v>3400</v>
      </c>
    </row>
    <row r="21" customFormat="false" ht="14.25" hidden="false" customHeight="false" outlineLevel="0" collapsed="false">
      <c r="A21" s="9" t="s">
        <v>29</v>
      </c>
      <c r="B21" s="9" t="n">
        <v>1000</v>
      </c>
      <c r="C21" s="9" t="n">
        <v>1000</v>
      </c>
    </row>
    <row r="22" customFormat="false" ht="14.25" hidden="false" customHeight="false" outlineLevel="0" collapsed="false">
      <c r="A22" s="9" t="s">
        <v>30</v>
      </c>
      <c r="B22" s="9" t="n">
        <v>1700</v>
      </c>
      <c r="C22" s="9" t="n">
        <v>1400</v>
      </c>
    </row>
    <row r="23" customFormat="false" ht="14.25" hidden="false" customHeight="false" outlineLevel="0" collapsed="false">
      <c r="A23" s="9" t="s">
        <v>31</v>
      </c>
      <c r="B23" s="9" t="n">
        <v>400</v>
      </c>
      <c r="C23" s="9" t="n">
        <v>400</v>
      </c>
    </row>
    <row r="24" customFormat="false" ht="14.25" hidden="false" customHeight="false" outlineLevel="0" collapsed="false">
      <c r="A24" s="9" t="s">
        <v>32</v>
      </c>
      <c r="B24" s="9" t="n">
        <v>2190</v>
      </c>
      <c r="C24" s="9" t="n">
        <v>2190</v>
      </c>
    </row>
    <row r="25" customFormat="false" ht="14.25" hidden="false" customHeight="false" outlineLevel="0" collapsed="false">
      <c r="A25" s="9" t="s">
        <v>33</v>
      </c>
      <c r="B25" s="9" t="n">
        <v>380</v>
      </c>
      <c r="C25" s="9" t="n">
        <v>350</v>
      </c>
    </row>
    <row r="26" customFormat="false" ht="14.25" hidden="false" customHeight="false" outlineLevel="0" collapsed="false">
      <c r="A26" s="9" t="s">
        <v>34</v>
      </c>
      <c r="B26" s="9" t="n">
        <v>900</v>
      </c>
      <c r="C26" s="9" t="n">
        <v>500</v>
      </c>
    </row>
    <row r="27" customFormat="false" ht="14.25" hidden="false" customHeight="false" outlineLevel="0" collapsed="false">
      <c r="A27" s="9" t="s">
        <v>35</v>
      </c>
      <c r="B27" s="9" t="n">
        <v>4200</v>
      </c>
      <c r="C27" s="9" t="n">
        <v>4400</v>
      </c>
    </row>
    <row r="28" customFormat="false" ht="14.25" hidden="false" customHeight="false" outlineLevel="0" collapsed="false">
      <c r="A28" s="9" t="s">
        <v>36</v>
      </c>
      <c r="B28" s="9" t="n">
        <v>2200</v>
      </c>
      <c r="C28" s="9" t="n">
        <v>4500</v>
      </c>
    </row>
    <row r="29" customFormat="false" ht="14.25" hidden="false" customHeight="false" outlineLevel="0" collapsed="false">
      <c r="A29" s="9" t="s">
        <v>37</v>
      </c>
      <c r="B29" s="9" t="n">
        <v>5772</v>
      </c>
      <c r="C29" s="9" t="n">
        <v>3110</v>
      </c>
    </row>
    <row r="30" customFormat="false" ht="14.25" hidden="false" customHeight="false" outlineLevel="0" collapsed="false">
      <c r="A30" s="9" t="s">
        <v>38</v>
      </c>
      <c r="B30" s="9" t="n">
        <v>0</v>
      </c>
      <c r="C30" s="9" t="n">
        <v>0</v>
      </c>
    </row>
    <row r="31" customFormat="false" ht="14.25" hidden="false" customHeight="false" outlineLevel="0" collapsed="false">
      <c r="A31" s="9" t="s">
        <v>39</v>
      </c>
      <c r="B31" s="9" t="n">
        <v>1000</v>
      </c>
      <c r="C31" s="9" t="n">
        <v>1000</v>
      </c>
    </row>
    <row r="32" customFormat="false" ht="14.25" hidden="false" customHeight="false" outlineLevel="0" collapsed="false">
      <c r="A32" s="9" t="s">
        <v>40</v>
      </c>
      <c r="B32" s="9" t="n">
        <v>1000</v>
      </c>
      <c r="C32" s="9" t="n">
        <v>1000</v>
      </c>
    </row>
    <row r="33" customFormat="false" ht="14.25" hidden="false" customHeight="false" outlineLevel="0" collapsed="false">
      <c r="A33" s="9" t="s">
        <v>41</v>
      </c>
      <c r="B33" s="9" t="n">
        <v>2600</v>
      </c>
      <c r="C33" s="9" t="n">
        <v>2500</v>
      </c>
    </row>
    <row r="34" customFormat="false" ht="14.25" hidden="false" customHeight="false" outlineLevel="0" collapsed="false">
      <c r="A34" s="9" t="s">
        <v>42</v>
      </c>
      <c r="B34" s="9" t="n">
        <v>600</v>
      </c>
      <c r="C34" s="9" t="n">
        <v>0</v>
      </c>
    </row>
    <row r="35" customFormat="false" ht="14.25" hidden="false" customHeight="false" outlineLevel="0" collapsed="false">
      <c r="A35" s="9" t="s">
        <v>43</v>
      </c>
      <c r="B35" s="9" t="n">
        <v>1800</v>
      </c>
      <c r="C35" s="9" t="n">
        <v>1100</v>
      </c>
    </row>
    <row r="36" customFormat="false" ht="14.25" hidden="false" customHeight="false" outlineLevel="0" collapsed="false">
      <c r="A36" s="9" t="s">
        <v>44</v>
      </c>
      <c r="B36" s="9" t="n">
        <v>400</v>
      </c>
      <c r="C36" s="9" t="n">
        <v>400</v>
      </c>
    </row>
    <row r="37" customFormat="false" ht="14.25" hidden="false" customHeight="false" outlineLevel="0" collapsed="false">
      <c r="A37" s="9" t="s">
        <v>45</v>
      </c>
      <c r="B37" s="9" t="n">
        <v>600</v>
      </c>
      <c r="C37" s="9" t="n">
        <v>600</v>
      </c>
    </row>
    <row r="38" customFormat="false" ht="14.25" hidden="false" customHeight="false" outlineLevel="0" collapsed="false">
      <c r="A38" s="9" t="s">
        <v>46</v>
      </c>
      <c r="B38" s="9" t="n">
        <v>3500</v>
      </c>
      <c r="C38" s="9" t="n">
        <v>3500</v>
      </c>
    </row>
    <row r="39" customFormat="false" ht="14.25" hidden="false" customHeight="false" outlineLevel="0" collapsed="false">
      <c r="A39" s="9" t="s">
        <v>47</v>
      </c>
      <c r="B39" s="9" t="n">
        <v>4800</v>
      </c>
      <c r="C39" s="9" t="n">
        <v>4800</v>
      </c>
    </row>
    <row r="40" customFormat="false" ht="14.25" hidden="false" customHeight="false" outlineLevel="0" collapsed="false">
      <c r="A40" s="9" t="s">
        <v>48</v>
      </c>
      <c r="B40" s="9" t="n">
        <v>2400</v>
      </c>
      <c r="C40" s="9" t="n">
        <v>2400</v>
      </c>
    </row>
    <row r="41" customFormat="false" ht="14.25" hidden="false" customHeight="false" outlineLevel="0" collapsed="false">
      <c r="A41" s="9" t="s">
        <v>49</v>
      </c>
      <c r="B41" s="9" t="n">
        <v>1300</v>
      </c>
      <c r="C41" s="9" t="n">
        <v>1300</v>
      </c>
    </row>
    <row r="42" customFormat="false" ht="14.25" hidden="false" customHeight="false" outlineLevel="0" collapsed="false">
      <c r="A42" s="9" t="s">
        <v>50</v>
      </c>
      <c r="B42" s="9" t="n">
        <v>5000</v>
      </c>
      <c r="C42" s="9" t="n">
        <v>5000</v>
      </c>
    </row>
    <row r="43" customFormat="false" ht="14.25" hidden="false" customHeight="false" outlineLevel="0" collapsed="false">
      <c r="A43" s="9" t="s">
        <v>51</v>
      </c>
      <c r="B43" s="9" t="n">
        <v>1400</v>
      </c>
      <c r="C43" s="9" t="n">
        <v>1400</v>
      </c>
    </row>
    <row r="44" customFormat="false" ht="14.25" hidden="false" customHeight="false" outlineLevel="0" collapsed="false">
      <c r="A44" s="9" t="s">
        <v>52</v>
      </c>
      <c r="B44" s="9" t="n">
        <v>2000</v>
      </c>
      <c r="C44" s="9" t="n">
        <v>0</v>
      </c>
    </row>
    <row r="45" customFormat="false" ht="14.25" hidden="false" customHeight="false" outlineLevel="0" collapsed="false">
      <c r="A45" s="9" t="s">
        <v>53</v>
      </c>
      <c r="B45" s="9" t="n">
        <v>1315</v>
      </c>
      <c r="C45" s="9" t="n">
        <v>1315</v>
      </c>
    </row>
    <row r="46" customFormat="false" ht="14.25" hidden="false" customHeight="false" outlineLevel="0" collapsed="false">
      <c r="A46" s="9" t="s">
        <v>54</v>
      </c>
      <c r="B46" s="9" t="n">
        <v>1400</v>
      </c>
      <c r="C46" s="9" t="n">
        <v>1400</v>
      </c>
    </row>
    <row r="47" customFormat="false" ht="14.25" hidden="false" customHeight="false" outlineLevel="0" collapsed="false">
      <c r="A47" s="9" t="s">
        <v>55</v>
      </c>
      <c r="B47" s="9" t="n">
        <v>400</v>
      </c>
      <c r="C47" s="9" t="n">
        <v>400</v>
      </c>
    </row>
    <row r="48" customFormat="false" ht="14.25" hidden="false" customHeight="false" outlineLevel="0" collapsed="false">
      <c r="A48" s="9" t="s">
        <v>56</v>
      </c>
      <c r="B48" s="9" t="n">
        <v>600</v>
      </c>
      <c r="C48" s="9" t="n">
        <v>600</v>
      </c>
    </row>
    <row r="49" customFormat="false" ht="14.25" hidden="false" customHeight="false" outlineLevel="0" collapsed="false">
      <c r="A49" s="9" t="s">
        <v>57</v>
      </c>
      <c r="B49" s="9" t="n">
        <v>600</v>
      </c>
      <c r="C49" s="9" t="n">
        <v>590</v>
      </c>
    </row>
    <row r="50" customFormat="false" ht="14.25" hidden="false" customHeight="false" outlineLevel="0" collapsed="false">
      <c r="A50" s="9" t="s">
        <v>58</v>
      </c>
      <c r="B50" s="9" t="n">
        <v>0</v>
      </c>
      <c r="C50" s="9" t="n">
        <v>0</v>
      </c>
    </row>
    <row r="51" customFormat="false" ht="14.25" hidden="false" customHeight="false" outlineLevel="0" collapsed="false">
      <c r="A51" s="9" t="s">
        <v>59</v>
      </c>
      <c r="B51" s="9" t="n">
        <v>1700</v>
      </c>
      <c r="C51" s="9" t="n">
        <v>1300</v>
      </c>
    </row>
    <row r="52" customFormat="false" ht="14.25" hidden="false" customHeight="false" outlineLevel="0" collapsed="false">
      <c r="A52" s="9" t="s">
        <v>60</v>
      </c>
      <c r="B52" s="9" t="n">
        <v>700</v>
      </c>
      <c r="C52" s="9" t="n">
        <v>700</v>
      </c>
    </row>
    <row r="53" customFormat="false" ht="14.25" hidden="false" customHeight="false" outlineLevel="0" collapsed="false">
      <c r="A53" s="9" t="s">
        <v>61</v>
      </c>
      <c r="B53" s="9" t="n">
        <v>1632</v>
      </c>
      <c r="C53" s="9" t="n">
        <v>1632</v>
      </c>
    </row>
    <row r="54" customFormat="false" ht="14.25" hidden="false" customHeight="false" outlineLevel="0" collapsed="false">
      <c r="A54" s="9" t="s">
        <v>62</v>
      </c>
      <c r="B54" s="9" t="n">
        <v>715</v>
      </c>
      <c r="C54" s="9" t="n">
        <v>715</v>
      </c>
    </row>
    <row r="55" customFormat="false" ht="14.25" hidden="false" customHeight="false" outlineLevel="0" collapsed="false">
      <c r="A55" s="9" t="s">
        <v>63</v>
      </c>
      <c r="B55" s="9" t="n">
        <v>1400</v>
      </c>
      <c r="C55" s="9" t="n">
        <v>1400</v>
      </c>
    </row>
    <row r="56" customFormat="false" ht="14.25" hidden="false" customHeight="false" outlineLevel="0" collapsed="false">
      <c r="A56" s="9" t="s">
        <v>64</v>
      </c>
      <c r="B56" s="9" t="n">
        <v>1000</v>
      </c>
      <c r="C56" s="9" t="n">
        <v>1000</v>
      </c>
    </row>
    <row r="57" customFormat="false" ht="14.25" hidden="false" customHeight="false" outlineLevel="0" collapsed="false">
      <c r="A57" s="9" t="s">
        <v>65</v>
      </c>
      <c r="B57" s="9" t="n">
        <v>250</v>
      </c>
      <c r="C57" s="9" t="n">
        <v>250</v>
      </c>
    </row>
    <row r="58" customFormat="false" ht="14.25" hidden="false" customHeight="false" outlineLevel="0" collapsed="false">
      <c r="A58" s="9" t="s">
        <v>66</v>
      </c>
      <c r="B58" s="9" t="n">
        <v>1016</v>
      </c>
      <c r="C58" s="9" t="n">
        <v>1016</v>
      </c>
    </row>
    <row r="59" customFormat="false" ht="14.25" hidden="false" customHeight="false" outlineLevel="0" collapsed="false">
      <c r="A59" s="9" t="s">
        <v>67</v>
      </c>
      <c r="B59" s="9" t="n">
        <v>950</v>
      </c>
      <c r="C59" s="9" t="n">
        <v>879</v>
      </c>
    </row>
    <row r="60" customFormat="false" ht="14.25" hidden="false" customHeight="false" outlineLevel="0" collapsed="false">
      <c r="A60" s="9" t="s">
        <v>68</v>
      </c>
      <c r="B60" s="9" t="n">
        <v>3000</v>
      </c>
      <c r="C60" s="9" t="n">
        <v>3000</v>
      </c>
    </row>
    <row r="61" customFormat="false" ht="14.25" hidden="false" customHeight="false" outlineLevel="0" collapsed="false">
      <c r="A61" s="9" t="s">
        <v>69</v>
      </c>
      <c r="B61" s="9" t="n">
        <v>240</v>
      </c>
      <c r="C61" s="9" t="n">
        <v>240</v>
      </c>
    </row>
    <row r="62" customFormat="false" ht="14.25" hidden="false" customHeight="false" outlineLevel="0" collapsed="false">
      <c r="A62" s="9" t="s">
        <v>70</v>
      </c>
      <c r="B62" s="9" t="n">
        <v>5000</v>
      </c>
      <c r="C62" s="9" t="n">
        <v>5000</v>
      </c>
    </row>
    <row r="63" customFormat="false" ht="14.25" hidden="false" customHeight="false" outlineLevel="0" collapsed="false">
      <c r="A63" s="9" t="s">
        <v>71</v>
      </c>
      <c r="B63" s="9" t="n">
        <v>900</v>
      </c>
      <c r="C63" s="9" t="n">
        <v>600</v>
      </c>
    </row>
    <row r="64" customFormat="false" ht="14.25" hidden="false" customHeight="false" outlineLevel="0" collapsed="false">
      <c r="A64" s="9" t="s">
        <v>72</v>
      </c>
      <c r="B64" s="9" t="n">
        <v>4200</v>
      </c>
      <c r="C64" s="9" t="n">
        <v>3500</v>
      </c>
    </row>
    <row r="65" customFormat="false" ht="14.25" hidden="false" customHeight="false" outlineLevel="0" collapsed="false">
      <c r="A65" s="9" t="s">
        <v>73</v>
      </c>
      <c r="B65" s="9" t="n">
        <v>0</v>
      </c>
      <c r="C65" s="9" t="n">
        <v>0</v>
      </c>
    </row>
    <row r="66" customFormat="false" ht="14.25" hidden="false" customHeight="false" outlineLevel="0" collapsed="false">
      <c r="A66" s="9" t="s">
        <v>74</v>
      </c>
      <c r="B66" s="9" t="n">
        <v>2000</v>
      </c>
      <c r="C66" s="9" t="n">
        <v>2000</v>
      </c>
    </row>
    <row r="67" customFormat="false" ht="14.25" hidden="false" customHeight="false" outlineLevel="0" collapsed="false">
      <c r="A67" s="9" t="s">
        <v>75</v>
      </c>
      <c r="B67" s="9" t="n">
        <v>0</v>
      </c>
      <c r="C67" s="9" t="n">
        <v>0</v>
      </c>
    </row>
    <row r="68" customFormat="false" ht="14.25" hidden="false" customHeight="false" outlineLevel="0" collapsed="false">
      <c r="A68" s="9" t="s">
        <v>76</v>
      </c>
      <c r="B68" s="9" t="n">
        <v>1200</v>
      </c>
      <c r="C68" s="9" t="n">
        <v>1200</v>
      </c>
    </row>
    <row r="69" customFormat="false" ht="14.25" hidden="false" customHeight="false" outlineLevel="0" collapsed="false">
      <c r="A69" s="9" t="s">
        <v>77</v>
      </c>
      <c r="B69" s="9" t="n">
        <v>700</v>
      </c>
      <c r="C69" s="9" t="n">
        <v>700</v>
      </c>
    </row>
    <row r="70" customFormat="false" ht="14.25" hidden="false" customHeight="false" outlineLevel="0" collapsed="false">
      <c r="A70" s="9" t="s">
        <v>78</v>
      </c>
      <c r="B70" s="9" t="n">
        <v>4485</v>
      </c>
      <c r="C70" s="9" t="n">
        <v>2160</v>
      </c>
    </row>
    <row r="71" customFormat="false" ht="14.25" hidden="false" customHeight="false" outlineLevel="0" collapsed="false">
      <c r="A71" s="9" t="s">
        <v>79</v>
      </c>
      <c r="B71" s="9" t="n">
        <v>380</v>
      </c>
      <c r="C71" s="9" t="n">
        <v>0</v>
      </c>
    </row>
    <row r="72" customFormat="false" ht="14.25" hidden="false" customHeight="false" outlineLevel="0" collapsed="false">
      <c r="A72" s="9" t="s">
        <v>80</v>
      </c>
      <c r="B72" s="9" t="n">
        <v>5600</v>
      </c>
      <c r="C72" s="9" t="n">
        <v>5600</v>
      </c>
    </row>
    <row r="73" customFormat="false" ht="14.25" hidden="false" customHeight="false" outlineLevel="0" collapsed="false">
      <c r="A73" s="9" t="s">
        <v>81</v>
      </c>
      <c r="B73" s="9" t="n">
        <v>120</v>
      </c>
      <c r="C73" s="9" t="n">
        <v>150</v>
      </c>
    </row>
    <row r="74" customFormat="false" ht="14.25" hidden="false" customHeight="false" outlineLevel="0" collapsed="false">
      <c r="A74" s="9" t="s">
        <v>82</v>
      </c>
      <c r="B74" s="9" t="n">
        <v>800</v>
      </c>
      <c r="C74" s="9" t="n">
        <v>800</v>
      </c>
    </row>
    <row r="75" customFormat="false" ht="14.25" hidden="false" customHeight="false" outlineLevel="0" collapsed="false">
      <c r="A75" s="9" t="s">
        <v>83</v>
      </c>
      <c r="B75" s="9" t="n">
        <v>500</v>
      </c>
      <c r="C75" s="9" t="n">
        <v>500</v>
      </c>
    </row>
    <row r="76" customFormat="false" ht="14.25" hidden="false" customHeight="false" outlineLevel="0" collapsed="false">
      <c r="A76" s="9" t="s">
        <v>84</v>
      </c>
      <c r="B76" s="9" t="n">
        <v>0</v>
      </c>
      <c r="C76" s="9" t="n">
        <v>0</v>
      </c>
    </row>
    <row r="77" customFormat="false" ht="14.25" hidden="false" customHeight="false" outlineLevel="0" collapsed="false">
      <c r="A77" s="9" t="s">
        <v>85</v>
      </c>
      <c r="B77" s="9" t="n">
        <v>1100</v>
      </c>
      <c r="C77" s="9" t="n">
        <v>850</v>
      </c>
    </row>
    <row r="78" customFormat="false" ht="14.25" hidden="false" customHeight="false" outlineLevel="0" collapsed="false">
      <c r="A78" s="9" t="s">
        <v>86</v>
      </c>
      <c r="B78" s="9" t="n">
        <v>660</v>
      </c>
      <c r="C78" s="9" t="n">
        <v>580</v>
      </c>
    </row>
    <row r="79" customFormat="false" ht="14.25" hidden="false" customHeight="false" outlineLevel="0" collapsed="false">
      <c r="A79" s="9" t="s">
        <v>87</v>
      </c>
      <c r="B79" s="9" t="n">
        <v>0</v>
      </c>
      <c r="C79" s="9" t="n">
        <v>0</v>
      </c>
    </row>
    <row r="80" customFormat="false" ht="14.25" hidden="false" customHeight="false" outlineLevel="0" collapsed="false">
      <c r="A80" s="9" t="s">
        <v>88</v>
      </c>
      <c r="B80" s="9" t="n">
        <v>800</v>
      </c>
      <c r="C80" s="9" t="n">
        <v>1000</v>
      </c>
    </row>
    <row r="81" customFormat="false" ht="14.25" hidden="false" customHeight="false" outlineLevel="0" collapsed="false">
      <c r="A81" s="9" t="s">
        <v>89</v>
      </c>
      <c r="B81" s="9" t="n">
        <v>300</v>
      </c>
      <c r="C81" s="9" t="n">
        <v>400</v>
      </c>
    </row>
    <row r="82" customFormat="false" ht="14.25" hidden="false" customHeight="false" outlineLevel="0" collapsed="false">
      <c r="A82" s="9" t="s">
        <v>90</v>
      </c>
      <c r="B82" s="9" t="n">
        <v>1500</v>
      </c>
      <c r="C82" s="9" t="n">
        <v>1500</v>
      </c>
    </row>
    <row r="83" customFormat="false" ht="14.25" hidden="false" customHeight="false" outlineLevel="0" collapsed="false">
      <c r="A83" s="9" t="s">
        <v>91</v>
      </c>
      <c r="B83" s="9" t="n">
        <v>1617</v>
      </c>
      <c r="C83" s="9" t="n">
        <v>1435</v>
      </c>
    </row>
    <row r="84" customFormat="false" ht="14.25" hidden="false" customHeight="false" outlineLevel="0" collapsed="false">
      <c r="A84" s="9" t="s">
        <v>92</v>
      </c>
      <c r="B84" s="9" t="n">
        <v>600</v>
      </c>
      <c r="C84" s="9" t="n">
        <v>700</v>
      </c>
    </row>
    <row r="85" customFormat="false" ht="14.25" hidden="false" customHeight="false" outlineLevel="0" collapsed="false">
      <c r="A85" s="9" t="s">
        <v>93</v>
      </c>
      <c r="B85" s="9" t="n">
        <v>1200</v>
      </c>
      <c r="C85" s="9" t="n">
        <v>1200</v>
      </c>
    </row>
    <row r="86" customFormat="false" ht="14.25" hidden="false" customHeight="false" outlineLevel="0" collapsed="false">
      <c r="A86" s="9" t="s">
        <v>94</v>
      </c>
      <c r="B86" s="9" t="n">
        <v>1800</v>
      </c>
      <c r="C86" s="9" t="n">
        <v>2513</v>
      </c>
    </row>
    <row r="87" customFormat="false" ht="14.25" hidden="false" customHeight="false" outlineLevel="0" collapsed="false">
      <c r="A87" s="9" t="s">
        <v>95</v>
      </c>
      <c r="B87" s="9" t="n">
        <v>450</v>
      </c>
      <c r="C87" s="9" t="n">
        <v>650</v>
      </c>
    </row>
    <row r="88" customFormat="false" ht="14.25" hidden="false" customHeight="false" outlineLevel="0" collapsed="false">
      <c r="A88" s="9" t="s">
        <v>96</v>
      </c>
      <c r="B88" s="9" t="n">
        <v>1750</v>
      </c>
      <c r="C88" s="9" t="n">
        <v>1750</v>
      </c>
    </row>
    <row r="89" customFormat="false" ht="14.25" hidden="false" customHeight="false" outlineLevel="0" collapsed="false">
      <c r="A89" s="9" t="s">
        <v>97</v>
      </c>
      <c r="B89" s="9" t="n">
        <v>1250</v>
      </c>
      <c r="C89" s="9" t="n">
        <v>1200</v>
      </c>
    </row>
    <row r="90" customFormat="false" ht="14.25" hidden="false" customHeight="false" outlineLevel="0" collapsed="false">
      <c r="A90" s="9" t="s">
        <v>98</v>
      </c>
      <c r="B90" s="9" t="n">
        <v>3000</v>
      </c>
      <c r="C90" s="9" t="n">
        <v>3000</v>
      </c>
    </row>
    <row r="91" customFormat="false" ht="14.25" hidden="false" customHeight="false" outlineLevel="0" collapsed="false">
      <c r="A91" s="9" t="s">
        <v>99</v>
      </c>
      <c r="B91" s="9" t="n">
        <v>0</v>
      </c>
      <c r="C91" s="9" t="n">
        <v>0</v>
      </c>
    </row>
    <row r="92" customFormat="false" ht="14.25" hidden="false" customHeight="false" outlineLevel="0" collapsed="false">
      <c r="A92" s="9" t="s">
        <v>100</v>
      </c>
      <c r="B92" s="9" t="n">
        <v>400</v>
      </c>
      <c r="C92" s="9" t="n">
        <v>400</v>
      </c>
    </row>
    <row r="93" customFormat="false" ht="14.25" hidden="false" customHeight="false" outlineLevel="0" collapsed="false">
      <c r="A93" s="9" t="s">
        <v>101</v>
      </c>
      <c r="B93" s="9" t="n">
        <v>4650</v>
      </c>
      <c r="C93" s="9" t="n">
        <v>5350</v>
      </c>
    </row>
    <row r="94" customFormat="false" ht="14.25" hidden="false" customHeight="false" outlineLevel="0" collapsed="false">
      <c r="A94" s="9" t="s">
        <v>102</v>
      </c>
      <c r="B94" s="9" t="n">
        <v>4500</v>
      </c>
      <c r="C94" s="9" t="n">
        <v>5300</v>
      </c>
    </row>
    <row r="95" customFormat="false" ht="14.25" hidden="false" customHeight="false" outlineLevel="0" collapsed="false">
      <c r="A95" s="9" t="s">
        <v>103</v>
      </c>
      <c r="B95" s="9" t="n">
        <v>420</v>
      </c>
      <c r="C95" s="9" t="n">
        <v>480</v>
      </c>
    </row>
    <row r="96" customFormat="false" ht="14.25" hidden="false" customHeight="false" outlineLevel="0" collapsed="false">
      <c r="A96" s="9" t="s">
        <v>104</v>
      </c>
      <c r="B96" s="9" t="n">
        <v>3100</v>
      </c>
      <c r="C96" s="9" t="n">
        <v>5700</v>
      </c>
    </row>
    <row r="97" customFormat="false" ht="14.25" hidden="false" customHeight="false" outlineLevel="0" collapsed="false">
      <c r="A97" s="9" t="s">
        <v>105</v>
      </c>
      <c r="B97" s="9" t="n">
        <v>720</v>
      </c>
      <c r="C97" s="9" t="n">
        <v>900</v>
      </c>
    </row>
    <row r="98" customFormat="false" ht="14.25" hidden="false" customHeight="false" outlineLevel="0" collapsed="false">
      <c r="A98" s="9" t="s">
        <v>106</v>
      </c>
      <c r="B98" s="9" t="n">
        <v>1000</v>
      </c>
      <c r="C98" s="9" t="n">
        <v>1000</v>
      </c>
    </row>
    <row r="99" customFormat="false" ht="14.25" hidden="false" customHeight="false" outlineLevel="0" collapsed="false">
      <c r="A99" s="9" t="s">
        <v>107</v>
      </c>
      <c r="B99" s="9" t="n">
        <v>600</v>
      </c>
      <c r="C99" s="9" t="n">
        <v>600</v>
      </c>
    </row>
    <row r="100" customFormat="false" ht="14.25" hidden="false" customHeight="false" outlineLevel="0" collapsed="false">
      <c r="A100" s="9" t="s">
        <v>108</v>
      </c>
      <c r="B100" s="9" t="n">
        <v>1080</v>
      </c>
      <c r="C100" s="9" t="n">
        <v>1153</v>
      </c>
    </row>
    <row r="101" customFormat="false" ht="14.25" hidden="false" customHeight="false" outlineLevel="0" collapsed="false">
      <c r="A101" s="9" t="s">
        <v>109</v>
      </c>
      <c r="B101" s="9" t="n">
        <v>2000</v>
      </c>
      <c r="C101" s="9" t="n">
        <v>3250</v>
      </c>
    </row>
    <row r="102" customFormat="false" ht="14.25" hidden="false" customHeight="false" outlineLevel="0" collapsed="false">
      <c r="A102" s="9" t="s">
        <v>110</v>
      </c>
      <c r="B102" s="9" t="n">
        <v>1000</v>
      </c>
      <c r="C102" s="9" t="n">
        <v>1000</v>
      </c>
    </row>
    <row r="103" customFormat="false" ht="14.25" hidden="false" customHeight="false" outlineLevel="0" collapsed="false">
      <c r="A103" s="9" t="s">
        <v>111</v>
      </c>
      <c r="B103" s="9" t="n">
        <v>2000</v>
      </c>
      <c r="C103" s="9" t="n">
        <v>2000</v>
      </c>
    </row>
    <row r="104" customFormat="false" ht="14.25" hidden="false" customHeight="false" outlineLevel="0" collapsed="false">
      <c r="A104" s="9" t="s">
        <v>112</v>
      </c>
      <c r="B104" s="9" t="n">
        <v>1500</v>
      </c>
      <c r="C104" s="9" t="n">
        <v>1500</v>
      </c>
    </row>
    <row r="105" customFormat="false" ht="14.25" hidden="false" customHeight="false" outlineLevel="0" collapsed="false">
      <c r="A105" s="9" t="s">
        <v>113</v>
      </c>
      <c r="B105" s="9" t="n">
        <v>225</v>
      </c>
      <c r="C105" s="9" t="n">
        <v>225</v>
      </c>
    </row>
    <row r="106" customFormat="false" ht="14.25" hidden="false" customHeight="false" outlineLevel="0" collapsed="false">
      <c r="A106" s="9" t="s">
        <v>114</v>
      </c>
      <c r="B106" s="9" t="n">
        <v>600</v>
      </c>
      <c r="C106" s="9" t="n">
        <v>600</v>
      </c>
    </row>
    <row r="107" customFormat="false" ht="14.25" hidden="false" customHeight="false" outlineLevel="0" collapsed="false">
      <c r="A107" s="9" t="s">
        <v>115</v>
      </c>
      <c r="B107" s="9" t="n">
        <v>950</v>
      </c>
      <c r="C107" s="9" t="n">
        <v>950</v>
      </c>
    </row>
    <row r="108" customFormat="false" ht="14.25" hidden="false" customHeight="false" outlineLevel="0" collapsed="false">
      <c r="A108" s="9" t="s">
        <v>116</v>
      </c>
      <c r="B108" s="9" t="n">
        <v>700</v>
      </c>
      <c r="C108" s="9" t="n">
        <v>700</v>
      </c>
    </row>
    <row r="109" customFormat="false" ht="14.25" hidden="false" customHeight="false" outlineLevel="0" collapsed="false">
      <c r="A109" s="9" t="s">
        <v>117</v>
      </c>
      <c r="B109" s="9" t="n">
        <v>700</v>
      </c>
      <c r="C109" s="9" t="n">
        <v>700</v>
      </c>
    </row>
    <row r="110" customFormat="false" ht="14.25" hidden="false" customHeight="false" outlineLevel="0" collapsed="false">
      <c r="A110" s="9" t="s">
        <v>118</v>
      </c>
      <c r="B110" s="9" t="n">
        <v>500</v>
      </c>
      <c r="C110" s="9" t="n">
        <v>500</v>
      </c>
    </row>
    <row r="111" customFormat="false" ht="14.25" hidden="false" customHeight="false" outlineLevel="0" collapsed="false">
      <c r="A111" s="9" t="s">
        <v>119</v>
      </c>
      <c r="B111" s="9" t="n">
        <v>540</v>
      </c>
      <c r="C111" s="9" t="n">
        <v>1140</v>
      </c>
    </row>
    <row r="112" customFormat="false" ht="14.25" hidden="false" customHeight="false" outlineLevel="0" collapsed="false">
      <c r="A112" s="9" t="s">
        <v>120</v>
      </c>
      <c r="B112" s="9" t="n">
        <v>460</v>
      </c>
      <c r="C112" s="9" t="n">
        <v>480</v>
      </c>
    </row>
    <row r="113" customFormat="false" ht="14.25" hidden="false" customHeight="false" outlineLevel="0" collapsed="false">
      <c r="A113" s="9" t="s">
        <v>121</v>
      </c>
      <c r="B113" s="9" t="n">
        <v>700</v>
      </c>
      <c r="C113" s="9" t="n">
        <v>700</v>
      </c>
    </row>
    <row r="114" customFormat="false" ht="14.25" hidden="false" customHeight="false" outlineLevel="0" collapsed="false">
      <c r="A114" s="9" t="s">
        <v>122</v>
      </c>
      <c r="B114" s="9" t="n">
        <v>1000</v>
      </c>
      <c r="C114" s="9" t="n">
        <v>1000</v>
      </c>
    </row>
    <row r="115" customFormat="false" ht="14.25" hidden="false" customHeight="false" outlineLevel="0" collapsed="false">
      <c r="A115" s="9" t="s">
        <v>123</v>
      </c>
      <c r="B115" s="9" t="n">
        <v>350</v>
      </c>
      <c r="C115" s="9" t="n">
        <v>1300</v>
      </c>
    </row>
    <row r="116" customFormat="false" ht="14.25" hidden="false" customHeight="false" outlineLevel="0" collapsed="false">
      <c r="A116" s="9" t="s">
        <v>124</v>
      </c>
      <c r="B116" s="9" t="n">
        <v>800</v>
      </c>
      <c r="C116" s="9" t="n">
        <v>600</v>
      </c>
    </row>
    <row r="117" customFormat="false" ht="14.25" hidden="false" customHeight="false" outlineLevel="0" collapsed="false">
      <c r="A117" s="9" t="s">
        <v>125</v>
      </c>
      <c r="B117" s="9" t="n">
        <v>600</v>
      </c>
      <c r="C117" s="9" t="n">
        <v>1000</v>
      </c>
    </row>
    <row r="118" customFormat="false" ht="14.25" hidden="false" customHeight="false" outlineLevel="0" collapsed="false">
      <c r="A118" s="9" t="s">
        <v>126</v>
      </c>
      <c r="B118" s="9" t="n">
        <v>700</v>
      </c>
      <c r="C118" s="9" t="n">
        <v>600</v>
      </c>
    </row>
    <row r="119" customFormat="false" ht="14.25" hidden="false" customHeight="false" outlineLevel="0" collapsed="false">
      <c r="A119" s="9" t="s">
        <v>127</v>
      </c>
      <c r="B119" s="9" t="n">
        <v>250</v>
      </c>
      <c r="C119" s="9" t="n">
        <v>300</v>
      </c>
    </row>
    <row r="120" customFormat="false" ht="14.25" hidden="false" customHeight="false" outlineLevel="0" collapsed="false">
      <c r="A120" s="9" t="s">
        <v>128</v>
      </c>
      <c r="B120" s="9" t="n">
        <v>2145</v>
      </c>
      <c r="C120" s="9" t="n">
        <v>2095</v>
      </c>
    </row>
    <row r="121" customFormat="false" ht="14.25" hidden="false" customHeight="false" outlineLevel="0" collapsed="false">
      <c r="A121" s="9" t="s">
        <v>129</v>
      </c>
      <c r="B121" s="9" t="n">
        <v>800</v>
      </c>
      <c r="C121" s="9" t="n">
        <v>0</v>
      </c>
    </row>
    <row r="122" customFormat="false" ht="14.25" hidden="false" customHeight="false" outlineLevel="0" collapsed="false">
      <c r="A122" s="9" t="s">
        <v>130</v>
      </c>
      <c r="B122" s="9" t="n">
        <v>3000</v>
      </c>
      <c r="C122" s="9" t="n">
        <v>0</v>
      </c>
    </row>
    <row r="123" customFormat="false" ht="14.25" hidden="false" customHeight="false" outlineLevel="0" collapsed="false">
      <c r="A123" s="9" t="s">
        <v>131</v>
      </c>
      <c r="B123" s="9" t="n">
        <v>781</v>
      </c>
      <c r="C123" s="9" t="n">
        <v>0</v>
      </c>
    </row>
    <row r="124" customFormat="false" ht="14.25" hidden="false" customHeight="false" outlineLevel="0" collapsed="false">
      <c r="A124" s="9" t="s">
        <v>132</v>
      </c>
      <c r="B124" s="9" t="n">
        <v>3000</v>
      </c>
      <c r="C124" s="9" t="n">
        <v>0</v>
      </c>
    </row>
    <row r="125" customFormat="false" ht="14.25" hidden="false" customHeight="false" outlineLevel="0" collapsed="false">
      <c r="A125" s="9" t="s">
        <v>133</v>
      </c>
      <c r="B125" s="9" t="n">
        <v>3000</v>
      </c>
      <c r="C125" s="9" t="n">
        <v>0</v>
      </c>
    </row>
    <row r="126" customFormat="false" ht="14.25" hidden="false" customHeight="false" outlineLevel="0" collapsed="false">
      <c r="A126" s="9" t="s">
        <v>134</v>
      </c>
      <c r="B126" s="9" t="n">
        <v>600</v>
      </c>
      <c r="C126" s="9" t="n">
        <v>600</v>
      </c>
    </row>
    <row r="127" customFormat="false" ht="14.25" hidden="false" customHeight="false" outlineLevel="0" collapsed="false">
      <c r="A127" s="9" t="s">
        <v>135</v>
      </c>
      <c r="B127" s="9" t="n">
        <v>1984</v>
      </c>
      <c r="C127" s="9" t="n">
        <v>1800</v>
      </c>
    </row>
    <row r="128" customFormat="false" ht="14.25" hidden="false" customHeight="false" outlineLevel="0" collapsed="false">
      <c r="A128" s="9" t="s">
        <v>136</v>
      </c>
      <c r="B128" s="9" t="n">
        <v>150</v>
      </c>
      <c r="C128" s="9" t="n">
        <v>150</v>
      </c>
    </row>
    <row r="129" customFormat="false" ht="14.25" hidden="false" customHeight="false" outlineLevel="0" collapsed="false">
      <c r="A129" s="9" t="s">
        <v>137</v>
      </c>
      <c r="B129" s="9" t="n">
        <v>3300</v>
      </c>
      <c r="C129" s="9" t="n">
        <v>3300</v>
      </c>
    </row>
    <row r="130" customFormat="false" ht="14.25" hidden="false" customHeight="false" outlineLevel="0" collapsed="false">
      <c r="A130" s="9" t="s">
        <v>138</v>
      </c>
      <c r="B130" s="9" t="n">
        <v>7300</v>
      </c>
      <c r="C130" s="9" t="n">
        <v>7300</v>
      </c>
    </row>
    <row r="131" customFormat="false" ht="14.25" hidden="false" customHeight="false" outlineLevel="0" collapsed="false">
      <c r="A131" s="9" t="s">
        <v>139</v>
      </c>
      <c r="B131" s="9" t="n">
        <v>6200</v>
      </c>
      <c r="C131" s="9" t="n">
        <v>2800</v>
      </c>
    </row>
    <row r="132" customFormat="false" ht="14.25" hidden="false" customHeight="false" outlineLevel="0" collapsed="false">
      <c r="A132" s="9" t="s">
        <v>140</v>
      </c>
      <c r="B132" s="9" t="n">
        <v>818</v>
      </c>
      <c r="C132" s="9" t="n">
        <v>0</v>
      </c>
    </row>
    <row r="133" customFormat="false" ht="14.25" hidden="false" customHeight="false" outlineLevel="0" collapsed="false">
      <c r="A133" s="9" t="s">
        <v>141</v>
      </c>
      <c r="B133" s="9" t="n">
        <v>495</v>
      </c>
      <c r="C133" s="9" t="n">
        <v>634</v>
      </c>
    </row>
    <row r="134" customFormat="false" ht="14.25" hidden="false" customHeight="false" outlineLevel="0" collapsed="false">
      <c r="A134" s="9" t="s">
        <v>142</v>
      </c>
      <c r="B134" s="9" t="n">
        <v>1400</v>
      </c>
      <c r="C134" s="9" t="n">
        <v>1400</v>
      </c>
    </row>
    <row r="135" customFormat="false" ht="14.25" hidden="false" customHeight="false" outlineLevel="0" collapsed="false">
      <c r="A135" s="9" t="s">
        <v>143</v>
      </c>
      <c r="B135" s="9" t="n">
        <v>450</v>
      </c>
      <c r="C135" s="9" t="n">
        <v>400</v>
      </c>
    </row>
    <row r="136" customFormat="false" ht="14.25" hidden="false" customHeight="false" outlineLevel="0" collapsed="false">
      <c r="A136" s="9" t="s">
        <v>144</v>
      </c>
      <c r="B136" s="9" t="n">
        <v>480</v>
      </c>
      <c r="C136" s="9" t="n">
        <v>950</v>
      </c>
    </row>
    <row r="137" customFormat="false" ht="14.25" hidden="false" customHeight="false" outlineLevel="0" collapsed="false">
      <c r="A137" s="9" t="s">
        <v>145</v>
      </c>
      <c r="B137" s="9" t="n">
        <v>2000</v>
      </c>
      <c r="C137" s="9" t="n">
        <v>2000</v>
      </c>
    </row>
    <row r="138" customFormat="false" ht="14.25" hidden="false" customHeight="false" outlineLevel="0" collapsed="false">
      <c r="A138" s="9" t="s">
        <v>146</v>
      </c>
      <c r="B138" s="9" t="n">
        <v>0</v>
      </c>
      <c r="C138" s="9" t="n">
        <v>0</v>
      </c>
    </row>
    <row r="139" customFormat="false" ht="14.25" hidden="false" customHeight="false" outlineLevel="0" collapsed="false">
      <c r="A139" s="9" t="s">
        <v>147</v>
      </c>
      <c r="B139" s="9" t="n">
        <v>1000</v>
      </c>
      <c r="C139" s="9" t="n">
        <v>1000</v>
      </c>
    </row>
    <row r="140" customFormat="false" ht="14.25" hidden="false" customHeight="false" outlineLevel="0" collapsed="false">
      <c r="A140" s="9" t="s">
        <v>148</v>
      </c>
      <c r="B140" s="9" t="n">
        <v>500</v>
      </c>
      <c r="C140" s="9" t="n">
        <v>500</v>
      </c>
    </row>
    <row r="141" customFormat="false" ht="14.25" hidden="false" customHeight="false" outlineLevel="0" collapsed="false">
      <c r="A141" s="9" t="s">
        <v>149</v>
      </c>
      <c r="B141" s="9" t="n">
        <v>800</v>
      </c>
      <c r="C141" s="9" t="n">
        <v>800</v>
      </c>
    </row>
    <row r="142" customFormat="false" ht="14.25" hidden="false" customHeight="false" outlineLevel="0" collapsed="false">
      <c r="A142" s="9" t="s">
        <v>150</v>
      </c>
      <c r="B142" s="9" t="n">
        <v>400</v>
      </c>
      <c r="C142" s="9" t="n">
        <v>400</v>
      </c>
    </row>
    <row r="143" customFormat="false" ht="14.25" hidden="false" customHeight="false" outlineLevel="0" collapsed="false">
      <c r="A143" s="9" t="s">
        <v>151</v>
      </c>
      <c r="B143" s="9" t="n">
        <v>600</v>
      </c>
      <c r="C143" s="9" t="n">
        <v>600</v>
      </c>
    </row>
    <row r="144" customFormat="false" ht="14.25" hidden="false" customHeight="false" outlineLevel="0" collapsed="false">
      <c r="A144" s="9"/>
      <c r="B144" s="9"/>
      <c r="C144" s="9"/>
    </row>
    <row r="145" customFormat="false" ht="14.25" hidden="false" customHeight="false" outlineLevel="0" collapsed="false">
      <c r="A145" s="9"/>
      <c r="B145" s="9"/>
      <c r="C145" s="9"/>
    </row>
    <row r="146" customFormat="false" ht="14.25" hidden="false" customHeight="false" outlineLevel="0" collapsed="false">
      <c r="A146" s="9"/>
      <c r="B146" s="9"/>
      <c r="C146" s="9"/>
    </row>
    <row r="147" customFormat="false" ht="14.25" hidden="false" customHeight="false" outlineLevel="0" collapsed="false">
      <c r="A147" s="9"/>
      <c r="B147" s="9"/>
      <c r="C147" s="9"/>
    </row>
    <row r="148" customFormat="false" ht="14.25" hidden="false" customHeight="false" outlineLevel="0" collapsed="false">
      <c r="A148" s="9"/>
      <c r="B148" s="9"/>
      <c r="C148" s="9"/>
    </row>
    <row r="149" customFormat="false" ht="14.25" hidden="false" customHeight="false" outlineLevel="0" collapsed="false">
      <c r="A149" s="9"/>
      <c r="B149" s="9"/>
      <c r="C149" s="9"/>
    </row>
    <row r="150" customFormat="false" ht="14.25" hidden="false" customHeight="false" outlineLevel="0" collapsed="false">
      <c r="A150" s="9"/>
      <c r="B150" s="9"/>
      <c r="C150" s="9"/>
    </row>
    <row r="151" customFormat="false" ht="14.25" hidden="false" customHeight="false" outlineLevel="0" collapsed="false">
      <c r="A151" s="9"/>
      <c r="B151" s="9"/>
      <c r="C151" s="9"/>
    </row>
    <row r="152" customFormat="false" ht="14.25" hidden="false" customHeight="false" outlineLevel="0" collapsed="false">
      <c r="A152" s="9"/>
      <c r="B152" s="9"/>
      <c r="C152" s="9"/>
    </row>
  </sheetData>
  <autoFilter ref="A1:C149">
    <sortState ref="A2:C149">
      <sortCondition ref="A2:A149"/>
    </sortState>
  </autoFilter>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ISC - Uso INTERNO / INTERNAL Use</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C3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B2" activeCellId="0" sqref="B2"/>
    </sheetView>
  </sheetViews>
  <sheetFormatPr defaultColWidth="8.82421875" defaultRowHeight="14.25" customHeight="false" zeroHeight="false" outlineLevelRow="0" outlineLevelCol="0"/>
  <cols>
    <col collapsed="false" customWidth="true" hidden="false" outlineLevel="0" max="1" min="1" style="7" width="11"/>
    <col collapsed="false" customWidth="true" hidden="false" outlineLevel="0" max="2" min="2" style="7" width="24.54"/>
    <col collapsed="false" customWidth="true" hidden="false" outlineLevel="0" max="3" min="3" style="7" width="28.54"/>
    <col collapsed="false" customWidth="false" hidden="false" outlineLevel="0" max="16384" min="4" style="7" width="8.82"/>
  </cols>
  <sheetData>
    <row r="1" customFormat="false" ht="14.25" hidden="false" customHeight="false" outlineLevel="0" collapsed="false">
      <c r="A1" s="10" t="s">
        <v>7</v>
      </c>
      <c r="B1" s="10" t="s">
        <v>152</v>
      </c>
      <c r="C1" s="10" t="s">
        <v>153</v>
      </c>
    </row>
    <row r="2" customFormat="false" ht="14.25" hidden="false" customHeight="false" outlineLevel="0" collapsed="false">
      <c r="A2" s="10" t="s">
        <v>154</v>
      </c>
      <c r="B2" s="7" t="n">
        <v>6.25</v>
      </c>
      <c r="C2" s="7" t="n">
        <v>6.25</v>
      </c>
    </row>
    <row r="3" customFormat="false" ht="14.25" hidden="false" customHeight="false" outlineLevel="0" collapsed="false">
      <c r="A3" s="10" t="s">
        <v>155</v>
      </c>
      <c r="B3" s="7" t="n">
        <v>5.25</v>
      </c>
      <c r="C3" s="7" t="n">
        <v>7</v>
      </c>
    </row>
    <row r="4" customFormat="false" ht="14.25" hidden="false" customHeight="false" outlineLevel="0" collapsed="false">
      <c r="A4" s="10" t="s">
        <v>156</v>
      </c>
      <c r="B4" s="7" t="n">
        <v>0</v>
      </c>
      <c r="C4" s="7" t="n">
        <v>0</v>
      </c>
    </row>
    <row r="5" customFormat="false" ht="14.25" hidden="false" customHeight="false" outlineLevel="0" collapsed="false">
      <c r="A5" s="10" t="s">
        <v>157</v>
      </c>
      <c r="B5" s="7" t="n">
        <v>6</v>
      </c>
      <c r="C5" s="7" t="n">
        <v>6</v>
      </c>
    </row>
    <row r="6" customFormat="false" ht="14.25" hidden="false" customHeight="false" outlineLevel="0" collapsed="false">
      <c r="A6" s="10" t="s">
        <v>158</v>
      </c>
      <c r="B6" s="7" t="n">
        <v>3.79</v>
      </c>
      <c r="C6" s="7" t="n">
        <v>3.79</v>
      </c>
    </row>
    <row r="7" customFormat="false" ht="14.25" hidden="false" customHeight="false" outlineLevel="0" collapsed="false">
      <c r="A7" s="10" t="s">
        <v>159</v>
      </c>
      <c r="B7" s="7" t="n">
        <v>4.5</v>
      </c>
      <c r="C7" s="7" t="n">
        <v>4.5</v>
      </c>
    </row>
    <row r="8" customFormat="false" ht="14.25" hidden="false" customHeight="false" outlineLevel="0" collapsed="false">
      <c r="A8" s="10" t="s">
        <v>160</v>
      </c>
      <c r="B8" s="7" t="n">
        <v>0.58</v>
      </c>
      <c r="C8" s="7" t="n">
        <v>0.58</v>
      </c>
    </row>
    <row r="9" customFormat="false" ht="14.25" hidden="false" customHeight="false" outlineLevel="0" collapsed="false">
      <c r="A9" s="10" t="s">
        <v>161</v>
      </c>
      <c r="B9" s="7" t="n">
        <v>2</v>
      </c>
      <c r="C9" s="7" t="n">
        <v>2</v>
      </c>
    </row>
    <row r="10" customFormat="false" ht="14.25" hidden="false" customHeight="false" outlineLevel="0" collapsed="false">
      <c r="A10" s="10" t="s">
        <v>162</v>
      </c>
      <c r="B10" s="7" t="n">
        <v>3.33</v>
      </c>
      <c r="C10" s="7" t="n">
        <v>3.15</v>
      </c>
    </row>
    <row r="11" customFormat="false" ht="14.25" hidden="false" customHeight="false" outlineLevel="0" collapsed="false">
      <c r="A11" s="10" t="s">
        <v>163</v>
      </c>
      <c r="B11" s="7" t="n">
        <v>0.74</v>
      </c>
      <c r="C11" s="7" t="n">
        <v>0.74</v>
      </c>
    </row>
    <row r="12" customFormat="false" ht="14.25" hidden="false" customHeight="false" outlineLevel="0" collapsed="false">
      <c r="A12" s="10" t="s">
        <v>164</v>
      </c>
      <c r="B12" s="7" t="n">
        <v>5.63</v>
      </c>
      <c r="C12" s="7" t="n">
        <v>3.67</v>
      </c>
    </row>
    <row r="13" customFormat="false" ht="14.25" hidden="false" customHeight="false" outlineLevel="0" collapsed="false">
      <c r="A13" s="10" t="s">
        <v>165</v>
      </c>
      <c r="B13" s="7" t="n">
        <v>6</v>
      </c>
      <c r="C13" s="7" t="n">
        <v>6</v>
      </c>
    </row>
    <row r="14" customFormat="false" ht="14.25" hidden="false" customHeight="false" outlineLevel="0" collapsed="false">
      <c r="A14" s="10" t="s">
        <v>166</v>
      </c>
      <c r="B14" s="7" t="n">
        <v>2.1</v>
      </c>
      <c r="C14" s="7" t="n">
        <v>2.1</v>
      </c>
    </row>
    <row r="15" customFormat="false" ht="14.25" hidden="false" customHeight="false" outlineLevel="0" collapsed="false">
      <c r="A15" s="10" t="s">
        <v>167</v>
      </c>
      <c r="B15" s="7" t="n">
        <v>8</v>
      </c>
      <c r="C15" s="7" t="n">
        <v>8.5</v>
      </c>
    </row>
    <row r="16" customFormat="false" ht="14.25" hidden="false" customHeight="false" outlineLevel="0" collapsed="false">
      <c r="A16" s="10" t="s">
        <v>168</v>
      </c>
      <c r="B16" s="7" t="n">
        <v>0.5</v>
      </c>
      <c r="C16" s="7" t="n">
        <v>15.63</v>
      </c>
    </row>
    <row r="17" customFormat="false" ht="14.25" hidden="false" customHeight="false" outlineLevel="0" collapsed="false">
      <c r="A17" s="10" t="s">
        <v>169</v>
      </c>
      <c r="B17" s="7" t="n">
        <v>4.17</v>
      </c>
      <c r="C17" s="7" t="n">
        <v>8.33</v>
      </c>
    </row>
    <row r="18" customFormat="false" ht="14.25" hidden="false" customHeight="false" outlineLevel="0" collapsed="false">
      <c r="A18" s="10" t="s">
        <v>170</v>
      </c>
      <c r="B18" s="7" t="n">
        <v>4.17</v>
      </c>
      <c r="C18" s="7" t="n">
        <v>8.33</v>
      </c>
    </row>
    <row r="19" customFormat="false" ht="14.25" hidden="false" customHeight="false" outlineLevel="0" collapsed="false">
      <c r="A19" s="10" t="s">
        <v>171</v>
      </c>
      <c r="B19" s="7" t="n">
        <v>8.33</v>
      </c>
      <c r="C19" s="7" t="n">
        <v>4.17</v>
      </c>
    </row>
    <row r="20" customFormat="false" ht="14.25" hidden="false" customHeight="false" outlineLevel="0" collapsed="false">
      <c r="A20" s="10" t="s">
        <v>172</v>
      </c>
      <c r="B20" s="7" t="n">
        <v>9</v>
      </c>
      <c r="C20" s="7" t="n">
        <v>9</v>
      </c>
    </row>
    <row r="21" customFormat="false" ht="14.25" hidden="false" customHeight="false" outlineLevel="0" collapsed="false">
      <c r="A21" s="10" t="s">
        <v>173</v>
      </c>
      <c r="B21" s="7" t="n">
        <v>0</v>
      </c>
      <c r="C21" s="7" t="n">
        <v>0</v>
      </c>
    </row>
    <row r="22" customFormat="false" ht="14.25" hidden="false" customHeight="false" outlineLevel="0" collapsed="false">
      <c r="A22" s="10" t="s">
        <v>174</v>
      </c>
      <c r="B22" s="7" t="n">
        <v>3.38</v>
      </c>
      <c r="C22" s="7" t="n">
        <v>3.38</v>
      </c>
    </row>
    <row r="23" customFormat="false" ht="14.25" hidden="false" customHeight="false" outlineLevel="0" collapsed="false">
      <c r="A23" s="10" t="s">
        <v>175</v>
      </c>
      <c r="B23" s="7" t="n">
        <v>6.75</v>
      </c>
      <c r="C23" s="7" t="n">
        <v>6.75</v>
      </c>
    </row>
    <row r="24" customFormat="false" ht="14.25" hidden="false" customHeight="false" outlineLevel="0" collapsed="false">
      <c r="A24" s="10" t="s">
        <v>176</v>
      </c>
      <c r="B24" s="7" t="n">
        <v>0</v>
      </c>
      <c r="C24" s="7" t="n">
        <v>0</v>
      </c>
    </row>
    <row r="25" customFormat="false" ht="14.25" hidden="false" customHeight="false" outlineLevel="0" collapsed="false">
      <c r="A25" s="10" t="s">
        <v>177</v>
      </c>
      <c r="B25" s="7" t="n">
        <v>0</v>
      </c>
      <c r="C25" s="7" t="n">
        <v>0</v>
      </c>
    </row>
    <row r="26" customFormat="false" ht="14.25" hidden="false" customHeight="false" outlineLevel="0" collapsed="false">
      <c r="A26" s="10" t="s">
        <v>178</v>
      </c>
      <c r="B26" s="7" t="n">
        <v>3.2</v>
      </c>
      <c r="C26" s="7" t="n">
        <v>3.2</v>
      </c>
    </row>
    <row r="27" customFormat="false" ht="14.25" hidden="false" customHeight="false" outlineLevel="0" collapsed="false">
      <c r="A27" s="10" t="s">
        <v>179</v>
      </c>
      <c r="B27" s="7" t="n">
        <v>0</v>
      </c>
      <c r="C27" s="7" t="n">
        <v>0</v>
      </c>
    </row>
    <row r="28" customFormat="false" ht="14.25" hidden="false" customHeight="false" outlineLevel="0" collapsed="false">
      <c r="A28" s="10" t="s">
        <v>180</v>
      </c>
      <c r="B28" s="7" t="n">
        <v>4.17</v>
      </c>
      <c r="C28" s="7" t="n">
        <v>4.17</v>
      </c>
    </row>
    <row r="29" customFormat="false" ht="14.25" hidden="false" customHeight="false" outlineLevel="0" collapsed="false">
      <c r="A29" s="10" t="s">
        <v>181</v>
      </c>
      <c r="B29" s="7" t="n">
        <v>0</v>
      </c>
      <c r="C29" s="7" t="n">
        <v>0</v>
      </c>
    </row>
    <row r="30" customFormat="false" ht="14.25" hidden="false" customHeight="false" outlineLevel="0" collapsed="false">
      <c r="A30" s="10" t="s">
        <v>182</v>
      </c>
      <c r="B30" s="7" t="n">
        <v>4.17</v>
      </c>
      <c r="C30" s="7" t="n">
        <v>8.33</v>
      </c>
    </row>
    <row r="31" customFormat="false" ht="14.25" hidden="false" customHeight="false" outlineLevel="0" collapsed="false">
      <c r="A31" s="10" t="s">
        <v>183</v>
      </c>
      <c r="B31" s="7" t="n">
        <v>8.33</v>
      </c>
      <c r="C31" s="7" t="n">
        <v>4.17</v>
      </c>
    </row>
    <row r="32" customFormat="false" ht="14.25" hidden="false" customHeight="false" outlineLevel="0" collapsed="false">
      <c r="A32" s="10" t="s">
        <v>184</v>
      </c>
      <c r="B32" s="7" t="n">
        <v>6</v>
      </c>
      <c r="C32" s="7" t="n">
        <v>0</v>
      </c>
    </row>
    <row r="33" customFormat="false" ht="14.25" hidden="false" customHeight="false" outlineLevel="0" collapsed="false">
      <c r="A33" s="10" t="s">
        <v>185</v>
      </c>
      <c r="B33" s="7" t="n">
        <v>21</v>
      </c>
      <c r="C33" s="7" t="n">
        <v>21</v>
      </c>
    </row>
    <row r="34" customFormat="false" ht="14.25" hidden="false" customHeight="false" outlineLevel="0" collapsed="false">
      <c r="A34" s="10" t="s">
        <v>186</v>
      </c>
      <c r="B34" s="7" t="n">
        <v>21</v>
      </c>
      <c r="C34" s="7" t="n">
        <v>21</v>
      </c>
    </row>
    <row r="35" customFormat="false" ht="14.25" hidden="false" customHeight="false" outlineLevel="0" collapsed="false">
      <c r="A35" s="10" t="s">
        <v>187</v>
      </c>
      <c r="B35" s="7" t="n">
        <v>8.92</v>
      </c>
      <c r="C35" s="7" t="n">
        <v>8.92</v>
      </c>
    </row>
    <row r="36" customFormat="false" ht="14.25" hidden="false" customHeight="false" outlineLevel="0" collapsed="false">
      <c r="A36" s="10" t="s">
        <v>188</v>
      </c>
      <c r="B36" s="7" t="n">
        <v>21</v>
      </c>
      <c r="C36" s="7" t="n">
        <v>21</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ISC - Uso INTERNO / INTERNAL Use</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tabColor rgb="FF5B9BD5"/>
    <pageSetUpPr fitToPage="false"/>
  </sheetPr>
  <dimension ref="A1:H26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G258" activeCellId="0" sqref="G258"/>
    </sheetView>
  </sheetViews>
  <sheetFormatPr defaultColWidth="8.6796875" defaultRowHeight="14.25" customHeight="false" zeroHeight="false" outlineLevelRow="0" outlineLevelCol="0"/>
  <cols>
    <col collapsed="false" customWidth="true" hidden="false" outlineLevel="0" max="1" min="1" style="1" width="22.82"/>
    <col collapsed="false" customWidth="true" hidden="false" outlineLevel="0" max="2" min="2" style="1" width="14.18"/>
    <col collapsed="false" customWidth="true" hidden="false" outlineLevel="0" max="3" min="3" style="1" width="8.54"/>
    <col collapsed="false" customWidth="true" hidden="false" outlineLevel="0" max="4" min="4" style="1" width="5.18"/>
    <col collapsed="false" customWidth="true" hidden="false" outlineLevel="0" max="5" min="5" style="1" width="9.54"/>
    <col collapsed="false" customWidth="true" hidden="false" outlineLevel="0" max="6" min="6" style="1" width="14.54"/>
    <col collapsed="false" customWidth="true" hidden="false" outlineLevel="0" max="7" min="7" style="1" width="25"/>
    <col collapsed="false" customWidth="true" hidden="false" outlineLevel="0" max="8" min="8" style="11" width="14"/>
  </cols>
  <sheetData>
    <row r="1" customFormat="false" ht="14.25" hidden="false" customHeight="false" outlineLevel="0" collapsed="false">
      <c r="A1" s="12" t="s">
        <v>189</v>
      </c>
      <c r="B1" s="12" t="s">
        <v>190</v>
      </c>
      <c r="C1" s="12" t="s">
        <v>191</v>
      </c>
      <c r="D1" s="12" t="s">
        <v>192</v>
      </c>
      <c r="E1" s="12" t="s">
        <v>193</v>
      </c>
      <c r="F1" s="12" t="s">
        <v>194</v>
      </c>
      <c r="G1" s="12" t="s">
        <v>195</v>
      </c>
      <c r="H1" s="13" t="s">
        <v>196</v>
      </c>
    </row>
    <row r="2" customFormat="false" ht="14.25" hidden="false" customHeight="false" outlineLevel="0" collapsed="false">
      <c r="A2" s="9" t="s">
        <v>197</v>
      </c>
      <c r="B2" s="9" t="s">
        <v>198</v>
      </c>
      <c r="C2" s="9" t="s">
        <v>199</v>
      </c>
      <c r="D2" s="9" t="n">
        <v>2035</v>
      </c>
      <c r="E2" s="9" t="s">
        <v>200</v>
      </c>
      <c r="F2" s="9" t="n">
        <v>500</v>
      </c>
      <c r="G2" s="9" t="n">
        <v>500</v>
      </c>
      <c r="H2" s="9" t="n">
        <v>175</v>
      </c>
    </row>
    <row r="3" customFormat="false" ht="14.25" hidden="true" customHeight="false" outlineLevel="0" collapsed="false">
      <c r="A3" s="9" t="s">
        <v>201</v>
      </c>
      <c r="B3" s="9" t="s">
        <v>198</v>
      </c>
      <c r="C3" s="9" t="s">
        <v>199</v>
      </c>
      <c r="D3" s="9" t="n">
        <v>2040</v>
      </c>
      <c r="E3" s="9" t="s">
        <v>200</v>
      </c>
      <c r="F3" s="9" t="n">
        <v>150</v>
      </c>
      <c r="G3" s="9" t="n">
        <v>150</v>
      </c>
      <c r="H3" s="9" t="n">
        <v>148.18</v>
      </c>
    </row>
    <row r="4" customFormat="false" ht="14.25" hidden="false" customHeight="false" outlineLevel="0" collapsed="false">
      <c r="A4" s="9" t="s">
        <v>202</v>
      </c>
      <c r="B4" s="9" t="s">
        <v>198</v>
      </c>
      <c r="C4" s="9" t="s">
        <v>203</v>
      </c>
      <c r="D4" s="9" t="n">
        <v>2035</v>
      </c>
      <c r="E4" s="9" t="s">
        <v>200</v>
      </c>
      <c r="F4" s="9" t="n">
        <v>500</v>
      </c>
      <c r="G4" s="9" t="n">
        <v>500</v>
      </c>
      <c r="H4" s="9" t="n">
        <v>316.7</v>
      </c>
    </row>
    <row r="5" customFormat="false" ht="14.25" hidden="true" customHeight="false" outlineLevel="0" collapsed="false">
      <c r="A5" s="9" t="s">
        <v>204</v>
      </c>
      <c r="B5" s="9" t="s">
        <v>205</v>
      </c>
      <c r="C5" s="9" t="s">
        <v>206</v>
      </c>
      <c r="D5" s="9" t="n">
        <v>2040</v>
      </c>
      <c r="E5" s="9" t="s">
        <v>200</v>
      </c>
      <c r="F5" s="9" t="n">
        <v>1000</v>
      </c>
      <c r="G5" s="9" t="n">
        <v>1000</v>
      </c>
      <c r="H5" s="9" t="n">
        <v>964</v>
      </c>
    </row>
    <row r="6" customFormat="false" ht="14.25" hidden="false" customHeight="false" outlineLevel="0" collapsed="false">
      <c r="A6" s="9" t="s">
        <v>207</v>
      </c>
      <c r="B6" s="9" t="s">
        <v>205</v>
      </c>
      <c r="C6" s="9" t="s">
        <v>208</v>
      </c>
      <c r="D6" s="9" t="n">
        <v>2030</v>
      </c>
      <c r="E6" s="9" t="s">
        <v>200</v>
      </c>
      <c r="F6" s="9" t="n">
        <v>1000</v>
      </c>
      <c r="G6" s="9" t="n">
        <v>1000</v>
      </c>
      <c r="H6" s="9" t="n">
        <v>150</v>
      </c>
    </row>
    <row r="7" customFormat="false" ht="14.25" hidden="true" customHeight="false" outlineLevel="0" collapsed="false">
      <c r="A7" s="9" t="s">
        <v>209</v>
      </c>
      <c r="B7" s="9" t="s">
        <v>205</v>
      </c>
      <c r="C7" s="9" t="s">
        <v>210</v>
      </c>
      <c r="D7" s="9" t="n">
        <v>2040</v>
      </c>
      <c r="E7" s="9" t="s">
        <v>200</v>
      </c>
      <c r="F7" s="9" t="n">
        <v>500</v>
      </c>
      <c r="G7" s="9" t="n">
        <v>500</v>
      </c>
      <c r="H7" s="9" t="n">
        <v>210</v>
      </c>
    </row>
    <row r="8" customFormat="false" ht="14.25" hidden="false" customHeight="false" outlineLevel="0" collapsed="false">
      <c r="A8" s="9" t="s">
        <v>211</v>
      </c>
      <c r="B8" s="9" t="s">
        <v>205</v>
      </c>
      <c r="C8" s="9" t="s">
        <v>212</v>
      </c>
      <c r="D8" s="9" t="n">
        <v>2035</v>
      </c>
      <c r="E8" s="9" t="s">
        <v>200</v>
      </c>
      <c r="F8" s="9" t="n">
        <v>1000</v>
      </c>
      <c r="G8" s="9" t="n">
        <v>1000</v>
      </c>
      <c r="H8" s="9" t="n">
        <v>1090</v>
      </c>
    </row>
    <row r="9" customFormat="false" ht="14.25" hidden="false" customHeight="false" outlineLevel="0" collapsed="false">
      <c r="A9" s="9" t="s">
        <v>213</v>
      </c>
      <c r="B9" s="9" t="s">
        <v>205</v>
      </c>
      <c r="C9" s="9" t="s">
        <v>212</v>
      </c>
      <c r="D9" s="9" t="n">
        <v>2035</v>
      </c>
      <c r="E9" s="9" t="s">
        <v>200</v>
      </c>
      <c r="F9" s="9" t="n">
        <v>1000</v>
      </c>
      <c r="G9" s="9" t="n">
        <v>1000</v>
      </c>
      <c r="H9" s="9" t="n">
        <v>94</v>
      </c>
    </row>
    <row r="10" customFormat="false" ht="14.25" hidden="false" customHeight="false" outlineLevel="0" collapsed="false">
      <c r="A10" s="9" t="s">
        <v>214</v>
      </c>
      <c r="B10" s="9" t="s">
        <v>205</v>
      </c>
      <c r="C10" s="9" t="s">
        <v>215</v>
      </c>
      <c r="D10" s="9" t="n">
        <v>2035</v>
      </c>
      <c r="E10" s="9" t="s">
        <v>200</v>
      </c>
      <c r="F10" s="9" t="n">
        <v>1400</v>
      </c>
      <c r="G10" s="9" t="n">
        <v>1400</v>
      </c>
      <c r="H10" s="9" t="n">
        <v>1649</v>
      </c>
    </row>
    <row r="11" customFormat="false" ht="14.25" hidden="true" customHeight="false" outlineLevel="0" collapsed="false">
      <c r="A11" s="9" t="s">
        <v>216</v>
      </c>
      <c r="B11" s="9" t="s">
        <v>217</v>
      </c>
      <c r="C11" s="9" t="s">
        <v>218</v>
      </c>
      <c r="D11" s="9" t="n">
        <v>2040</v>
      </c>
      <c r="E11" s="9" t="s">
        <v>200</v>
      </c>
      <c r="F11" s="9" t="n">
        <v>1100</v>
      </c>
      <c r="G11" s="9" t="n">
        <v>700</v>
      </c>
      <c r="H11" s="9" t="n">
        <v>60</v>
      </c>
    </row>
    <row r="12" customFormat="false" ht="14.25" hidden="false" customHeight="false" outlineLevel="0" collapsed="false">
      <c r="A12" s="9" t="s">
        <v>219</v>
      </c>
      <c r="B12" s="9" t="s">
        <v>220</v>
      </c>
      <c r="C12" s="9" t="s">
        <v>206</v>
      </c>
      <c r="D12" s="9" t="n">
        <v>2035</v>
      </c>
      <c r="E12" s="9" t="s">
        <v>200</v>
      </c>
      <c r="F12" s="9" t="n">
        <v>200</v>
      </c>
      <c r="G12" s="9" t="n">
        <v>0</v>
      </c>
      <c r="H12" s="9" t="n">
        <v>290.22</v>
      </c>
    </row>
    <row r="13" customFormat="false" ht="14.25" hidden="false" customHeight="false" outlineLevel="0" collapsed="false">
      <c r="A13" s="9" t="s">
        <v>221</v>
      </c>
      <c r="B13" s="9" t="s">
        <v>220</v>
      </c>
      <c r="C13" s="9" t="s">
        <v>206</v>
      </c>
      <c r="D13" s="9" t="n">
        <v>2035</v>
      </c>
      <c r="E13" s="9" t="s">
        <v>200</v>
      </c>
      <c r="F13" s="9" t="n">
        <v>100</v>
      </c>
      <c r="G13" s="9" t="n">
        <v>600</v>
      </c>
      <c r="H13" s="9" t="n">
        <v>86</v>
      </c>
    </row>
    <row r="14" customFormat="false" ht="14.25" hidden="true" customHeight="false" outlineLevel="0" collapsed="false">
      <c r="A14" s="9" t="s">
        <v>222</v>
      </c>
      <c r="B14" s="9" t="s">
        <v>206</v>
      </c>
      <c r="C14" s="9" t="s">
        <v>220</v>
      </c>
      <c r="D14" s="9" t="n">
        <v>2040</v>
      </c>
      <c r="E14" s="9" t="s">
        <v>200</v>
      </c>
      <c r="F14" s="9" t="n">
        <v>1000</v>
      </c>
      <c r="G14" s="9" t="n">
        <v>1000</v>
      </c>
      <c r="H14" s="9" t="n">
        <v>1096</v>
      </c>
    </row>
    <row r="15" customFormat="false" ht="14.25" hidden="false" customHeight="false" outlineLevel="0" collapsed="false">
      <c r="A15" s="9" t="s">
        <v>223</v>
      </c>
      <c r="B15" s="9" t="s">
        <v>220</v>
      </c>
      <c r="C15" s="9" t="s">
        <v>199</v>
      </c>
      <c r="D15" s="9" t="n">
        <v>2035</v>
      </c>
      <c r="E15" s="9" t="s">
        <v>200</v>
      </c>
      <c r="F15" s="9" t="n">
        <v>1000</v>
      </c>
      <c r="G15" s="9" t="n">
        <v>1000</v>
      </c>
      <c r="H15" s="9" t="n">
        <v>1289</v>
      </c>
    </row>
    <row r="16" customFormat="false" ht="14.25" hidden="false" customHeight="false" outlineLevel="0" collapsed="false">
      <c r="A16" s="9" t="s">
        <v>224</v>
      </c>
      <c r="B16" s="9" t="s">
        <v>206</v>
      </c>
      <c r="C16" s="9" t="s">
        <v>212</v>
      </c>
      <c r="D16" s="9" t="n">
        <v>2035</v>
      </c>
      <c r="E16" s="9" t="s">
        <v>200</v>
      </c>
      <c r="F16" s="9" t="n">
        <v>1000</v>
      </c>
      <c r="G16" s="9" t="n">
        <v>1000</v>
      </c>
      <c r="H16" s="9" t="n">
        <v>200</v>
      </c>
    </row>
    <row r="17" customFormat="false" ht="14.25" hidden="false" customHeight="false" outlineLevel="0" collapsed="false">
      <c r="A17" s="9" t="s">
        <v>225</v>
      </c>
      <c r="B17" s="9" t="s">
        <v>226</v>
      </c>
      <c r="C17" s="9" t="s">
        <v>215</v>
      </c>
      <c r="D17" s="9" t="n">
        <v>2035</v>
      </c>
      <c r="E17" s="9" t="s">
        <v>200</v>
      </c>
      <c r="F17" s="9" t="n">
        <v>1400</v>
      </c>
      <c r="G17" s="9" t="n">
        <v>1400</v>
      </c>
      <c r="H17" s="9" t="n">
        <v>1471</v>
      </c>
    </row>
    <row r="18" customFormat="false" ht="14.25" hidden="false" customHeight="false" outlineLevel="0" collapsed="false">
      <c r="A18" s="9" t="s">
        <v>227</v>
      </c>
      <c r="B18" s="9" t="s">
        <v>228</v>
      </c>
      <c r="C18" s="9" t="s">
        <v>208</v>
      </c>
      <c r="D18" s="9" t="n">
        <v>2030</v>
      </c>
      <c r="E18" s="9" t="s">
        <v>200</v>
      </c>
      <c r="F18" s="9" t="n">
        <v>1500</v>
      </c>
      <c r="G18" s="9" t="n">
        <v>1500</v>
      </c>
      <c r="H18" s="9" t="n">
        <v>1221</v>
      </c>
    </row>
    <row r="19" customFormat="false" ht="14.25" hidden="false" customHeight="false" outlineLevel="0" collapsed="false">
      <c r="A19" s="9" t="s">
        <v>229</v>
      </c>
      <c r="B19" s="9" t="s">
        <v>228</v>
      </c>
      <c r="C19" s="9" t="s">
        <v>208</v>
      </c>
      <c r="D19" s="9" t="n">
        <v>2030</v>
      </c>
      <c r="E19" s="9" t="s">
        <v>200</v>
      </c>
      <c r="F19" s="9" t="n">
        <v>1500</v>
      </c>
      <c r="G19" s="9" t="n">
        <v>1500</v>
      </c>
      <c r="H19" s="9" t="n">
        <v>1554</v>
      </c>
    </row>
    <row r="20" customFormat="false" ht="14.25" hidden="false" customHeight="false" outlineLevel="0" collapsed="false">
      <c r="A20" s="9" t="s">
        <v>230</v>
      </c>
      <c r="B20" s="9" t="s">
        <v>208</v>
      </c>
      <c r="C20" s="9" t="s">
        <v>215</v>
      </c>
      <c r="D20" s="9" t="n">
        <v>2035</v>
      </c>
      <c r="E20" s="9" t="s">
        <v>200</v>
      </c>
      <c r="F20" s="9" t="n">
        <v>1250</v>
      </c>
      <c r="G20" s="9" t="n">
        <v>1250</v>
      </c>
      <c r="H20" s="9" t="n">
        <v>1200</v>
      </c>
    </row>
    <row r="21" customFormat="false" ht="14.25" hidden="false" customHeight="false" outlineLevel="0" collapsed="false">
      <c r="A21" s="9" t="s">
        <v>231</v>
      </c>
      <c r="B21" s="9" t="s">
        <v>232</v>
      </c>
      <c r="C21" s="9" t="s">
        <v>233</v>
      </c>
      <c r="D21" s="9" t="n">
        <v>2030</v>
      </c>
      <c r="E21" s="9" t="s">
        <v>200</v>
      </c>
      <c r="F21" s="9" t="n">
        <v>950</v>
      </c>
      <c r="G21" s="9" t="n">
        <v>950</v>
      </c>
      <c r="H21" s="9" t="n">
        <v>363</v>
      </c>
    </row>
    <row r="22" customFormat="false" ht="14.25" hidden="false" customHeight="false" outlineLevel="0" collapsed="false">
      <c r="A22" s="9" t="s">
        <v>234</v>
      </c>
      <c r="B22" s="9" t="s">
        <v>215</v>
      </c>
      <c r="C22" s="9" t="s">
        <v>233</v>
      </c>
      <c r="D22" s="9" t="n">
        <v>2030</v>
      </c>
      <c r="E22" s="9" t="s">
        <v>200</v>
      </c>
      <c r="F22" s="9" t="n">
        <v>700</v>
      </c>
      <c r="G22" s="9" t="n">
        <v>700</v>
      </c>
      <c r="H22" s="9" t="n">
        <v>446</v>
      </c>
    </row>
    <row r="23" customFormat="false" ht="14.25" hidden="false" customHeight="false" outlineLevel="0" collapsed="false">
      <c r="A23" s="9" t="s">
        <v>235</v>
      </c>
      <c r="B23" s="9" t="s">
        <v>236</v>
      </c>
      <c r="C23" s="9" t="s">
        <v>237</v>
      </c>
      <c r="D23" s="9" t="n">
        <v>2035</v>
      </c>
      <c r="E23" s="9" t="s">
        <v>200</v>
      </c>
      <c r="F23" s="9" t="n">
        <v>998</v>
      </c>
      <c r="G23" s="9" t="n">
        <v>302</v>
      </c>
      <c r="H23" s="9" t="n">
        <v>267.03</v>
      </c>
    </row>
    <row r="24" customFormat="false" ht="14.25" hidden="false" customHeight="false" outlineLevel="0" collapsed="false">
      <c r="A24" s="9" t="s">
        <v>238</v>
      </c>
      <c r="B24" s="9" t="s">
        <v>217</v>
      </c>
      <c r="C24" s="9" t="s">
        <v>239</v>
      </c>
      <c r="D24" s="9" t="n">
        <v>2035</v>
      </c>
      <c r="E24" s="9" t="s">
        <v>200</v>
      </c>
      <c r="F24" s="9" t="n">
        <v>490</v>
      </c>
      <c r="G24" s="9" t="n">
        <v>270</v>
      </c>
      <c r="H24" s="9" t="n">
        <v>272.5</v>
      </c>
    </row>
    <row r="25" customFormat="false" ht="14.25" hidden="false" customHeight="false" outlineLevel="0" collapsed="false">
      <c r="A25" s="9" t="s">
        <v>240</v>
      </c>
      <c r="B25" s="9" t="s">
        <v>241</v>
      </c>
      <c r="C25" s="9" t="s">
        <v>242</v>
      </c>
      <c r="D25" s="9" t="n">
        <v>2035</v>
      </c>
      <c r="E25" s="9" t="s">
        <v>200</v>
      </c>
      <c r="F25" s="9" t="n">
        <v>500</v>
      </c>
      <c r="G25" s="9" t="n">
        <v>500</v>
      </c>
      <c r="H25" s="9" t="n">
        <v>133.35</v>
      </c>
    </row>
    <row r="26" customFormat="false" ht="14.25" hidden="false" customHeight="false" outlineLevel="0" collapsed="false">
      <c r="A26" s="9" t="s">
        <v>243</v>
      </c>
      <c r="B26" s="9" t="s">
        <v>206</v>
      </c>
      <c r="C26" s="9" t="s">
        <v>244</v>
      </c>
      <c r="D26" s="9" t="n">
        <v>2035</v>
      </c>
      <c r="E26" s="9" t="s">
        <v>200</v>
      </c>
      <c r="F26" s="9" t="n">
        <v>700</v>
      </c>
      <c r="G26" s="9" t="n">
        <v>700</v>
      </c>
      <c r="H26" s="9" t="n">
        <v>661</v>
      </c>
    </row>
    <row r="27" customFormat="false" ht="14.25" hidden="false" customHeight="false" outlineLevel="0" collapsed="false">
      <c r="A27" s="9" t="s">
        <v>245</v>
      </c>
      <c r="B27" s="9" t="s">
        <v>206</v>
      </c>
      <c r="C27" s="9" t="s">
        <v>215</v>
      </c>
      <c r="D27" s="9" t="n">
        <v>2030</v>
      </c>
      <c r="E27" s="9" t="s">
        <v>200</v>
      </c>
      <c r="F27" s="9" t="n">
        <v>1400</v>
      </c>
      <c r="G27" s="9" t="n">
        <v>1400</v>
      </c>
      <c r="H27" s="9" t="n">
        <v>1675</v>
      </c>
    </row>
    <row r="28" customFormat="false" ht="14.25" hidden="false" customHeight="false" outlineLevel="0" collapsed="false">
      <c r="A28" s="9" t="s">
        <v>246</v>
      </c>
      <c r="B28" s="9" t="s">
        <v>226</v>
      </c>
      <c r="C28" s="9" t="s">
        <v>247</v>
      </c>
      <c r="D28" s="9" t="n">
        <v>2035</v>
      </c>
      <c r="E28" s="9" t="s">
        <v>200</v>
      </c>
      <c r="F28" s="9" t="n">
        <v>700</v>
      </c>
      <c r="G28" s="9" t="n">
        <v>700</v>
      </c>
      <c r="H28" s="9" t="n">
        <v>317</v>
      </c>
    </row>
    <row r="29" customFormat="false" ht="14.25" hidden="false" customHeight="false" outlineLevel="0" collapsed="false">
      <c r="A29" s="9" t="s">
        <v>248</v>
      </c>
      <c r="B29" s="9" t="s">
        <v>249</v>
      </c>
      <c r="C29" s="9" t="s">
        <v>250</v>
      </c>
      <c r="D29" s="9" t="n">
        <v>2035</v>
      </c>
      <c r="E29" s="9" t="s">
        <v>200</v>
      </c>
      <c r="F29" s="9" t="n">
        <v>700</v>
      </c>
      <c r="G29" s="9" t="n">
        <v>700</v>
      </c>
      <c r="H29" s="9" t="n">
        <v>630</v>
      </c>
    </row>
    <row r="30" customFormat="false" ht="14.25" hidden="false" customHeight="false" outlineLevel="0" collapsed="false">
      <c r="A30" s="9" t="s">
        <v>251</v>
      </c>
      <c r="B30" s="9" t="s">
        <v>249</v>
      </c>
      <c r="C30" s="9" t="s">
        <v>252</v>
      </c>
      <c r="D30" s="9" t="n">
        <v>2035</v>
      </c>
      <c r="E30" s="9" t="s">
        <v>200</v>
      </c>
      <c r="F30" s="9" t="n">
        <v>1000</v>
      </c>
      <c r="G30" s="9" t="n">
        <v>1000</v>
      </c>
      <c r="H30" s="9" t="n">
        <v>900</v>
      </c>
    </row>
    <row r="31" customFormat="false" ht="14.25" hidden="false" customHeight="false" outlineLevel="0" collapsed="false">
      <c r="A31" s="9" t="s">
        <v>253</v>
      </c>
      <c r="B31" s="9" t="s">
        <v>250</v>
      </c>
      <c r="C31" s="9" t="s">
        <v>254</v>
      </c>
      <c r="D31" s="9" t="n">
        <v>2035</v>
      </c>
      <c r="E31" s="9" t="s">
        <v>200</v>
      </c>
      <c r="F31" s="9" t="n">
        <v>800</v>
      </c>
      <c r="G31" s="9" t="n">
        <v>800</v>
      </c>
      <c r="H31" s="9" t="n">
        <v>270</v>
      </c>
    </row>
    <row r="32" customFormat="false" ht="14.25" hidden="false" customHeight="false" outlineLevel="0" collapsed="false">
      <c r="A32" s="9" t="s">
        <v>255</v>
      </c>
      <c r="B32" s="9" t="s">
        <v>250</v>
      </c>
      <c r="C32" s="9" t="s">
        <v>254</v>
      </c>
      <c r="D32" s="9" t="n">
        <v>2030</v>
      </c>
      <c r="E32" s="9" t="s">
        <v>200</v>
      </c>
      <c r="F32" s="9" t="n">
        <v>900</v>
      </c>
      <c r="G32" s="9" t="n">
        <v>800</v>
      </c>
      <c r="H32" s="9" t="n">
        <v>270</v>
      </c>
    </row>
    <row r="33" customFormat="false" ht="14.25" hidden="true" customHeight="false" outlineLevel="0" collapsed="false">
      <c r="A33" s="9" t="s">
        <v>256</v>
      </c>
      <c r="B33" s="9" t="s">
        <v>250</v>
      </c>
      <c r="C33" s="9" t="s">
        <v>247</v>
      </c>
      <c r="D33" s="9" t="n">
        <v>2040</v>
      </c>
      <c r="E33" s="9" t="s">
        <v>200</v>
      </c>
      <c r="F33" s="9" t="n">
        <v>800</v>
      </c>
      <c r="G33" s="9" t="n">
        <v>800</v>
      </c>
      <c r="H33" s="9" t="n">
        <v>500</v>
      </c>
    </row>
    <row r="34" customFormat="false" ht="14.25" hidden="false" customHeight="false" outlineLevel="0" collapsed="false">
      <c r="A34" s="9" t="s">
        <v>257</v>
      </c>
      <c r="B34" s="9" t="s">
        <v>258</v>
      </c>
      <c r="C34" s="9" t="s">
        <v>259</v>
      </c>
      <c r="D34" s="9" t="n">
        <v>2035</v>
      </c>
      <c r="E34" s="9" t="s">
        <v>200</v>
      </c>
      <c r="F34" s="9" t="n">
        <v>1000</v>
      </c>
      <c r="G34" s="9" t="n">
        <v>1000</v>
      </c>
      <c r="H34" s="9" t="n">
        <v>1323.2</v>
      </c>
    </row>
    <row r="35" customFormat="false" ht="14.25" hidden="false" customHeight="false" outlineLevel="0" collapsed="false">
      <c r="A35" s="9" t="s">
        <v>260</v>
      </c>
      <c r="B35" s="9" t="s">
        <v>258</v>
      </c>
      <c r="C35" s="9" t="s">
        <v>261</v>
      </c>
      <c r="D35" s="9" t="n">
        <v>2035</v>
      </c>
      <c r="E35" s="9" t="s">
        <v>200</v>
      </c>
      <c r="F35" s="9" t="n">
        <v>500</v>
      </c>
      <c r="G35" s="9" t="n">
        <v>500</v>
      </c>
      <c r="H35" s="9" t="n">
        <v>5.63</v>
      </c>
    </row>
    <row r="36" customFormat="false" ht="14.25" hidden="false" customHeight="false" outlineLevel="0" collapsed="false">
      <c r="A36" s="9" t="s">
        <v>262</v>
      </c>
      <c r="B36" s="9" t="s">
        <v>258</v>
      </c>
      <c r="C36" s="9" t="s">
        <v>218</v>
      </c>
      <c r="D36" s="9" t="n">
        <v>2035</v>
      </c>
      <c r="E36" s="9" t="s">
        <v>200</v>
      </c>
      <c r="F36" s="9" t="n">
        <v>600</v>
      </c>
      <c r="G36" s="9" t="n">
        <v>600</v>
      </c>
      <c r="H36" s="9" t="n">
        <v>87.55</v>
      </c>
    </row>
    <row r="37" customFormat="false" ht="14.25" hidden="true" customHeight="false" outlineLevel="0" collapsed="false">
      <c r="A37" s="9" t="s">
        <v>263</v>
      </c>
      <c r="B37" s="9" t="s">
        <v>237</v>
      </c>
      <c r="C37" s="9" t="s">
        <v>239</v>
      </c>
      <c r="D37" s="9" t="n">
        <v>2040</v>
      </c>
      <c r="E37" s="9" t="s">
        <v>200</v>
      </c>
      <c r="F37" s="9" t="n">
        <v>600</v>
      </c>
      <c r="G37" s="9" t="n">
        <v>600</v>
      </c>
      <c r="H37" s="9" t="n">
        <v>44</v>
      </c>
    </row>
    <row r="38" customFormat="false" ht="14.25" hidden="false" customHeight="false" outlineLevel="0" collapsed="false">
      <c r="A38" s="9" t="s">
        <v>264</v>
      </c>
      <c r="B38" s="9" t="s">
        <v>265</v>
      </c>
      <c r="C38" s="9" t="s">
        <v>266</v>
      </c>
      <c r="D38" s="9" t="n">
        <v>2035</v>
      </c>
      <c r="E38" s="9" t="s">
        <v>200</v>
      </c>
      <c r="F38" s="9" t="n">
        <v>1410</v>
      </c>
      <c r="G38" s="9" t="n">
        <v>740</v>
      </c>
      <c r="H38" s="9" t="n">
        <v>145.88</v>
      </c>
    </row>
    <row r="39" customFormat="false" ht="14.25" hidden="false" customHeight="false" outlineLevel="0" collapsed="false">
      <c r="A39" s="9" t="s">
        <v>267</v>
      </c>
      <c r="B39" s="9" t="s">
        <v>265</v>
      </c>
      <c r="C39" s="9" t="s">
        <v>239</v>
      </c>
      <c r="D39" s="9" t="n">
        <v>2030</v>
      </c>
      <c r="E39" s="9" t="s">
        <v>200</v>
      </c>
      <c r="F39" s="9" t="n">
        <v>500</v>
      </c>
      <c r="G39" s="9" t="n">
        <v>500</v>
      </c>
      <c r="H39" s="9" t="n">
        <v>120.1</v>
      </c>
    </row>
    <row r="40" customFormat="false" ht="14.25" hidden="false" customHeight="false" outlineLevel="0" collapsed="false">
      <c r="A40" s="9" t="s">
        <v>268</v>
      </c>
      <c r="B40" s="9" t="s">
        <v>269</v>
      </c>
      <c r="C40" s="9" t="s">
        <v>270</v>
      </c>
      <c r="D40" s="9" t="n">
        <v>2035</v>
      </c>
      <c r="E40" s="9" t="s">
        <v>200</v>
      </c>
      <c r="F40" s="9" t="n">
        <v>600</v>
      </c>
      <c r="G40" s="9" t="n">
        <v>600</v>
      </c>
      <c r="H40" s="9" t="n">
        <v>345</v>
      </c>
    </row>
    <row r="41" customFormat="false" ht="14.25" hidden="false" customHeight="false" outlineLevel="0" collapsed="false">
      <c r="A41" s="9" t="s">
        <v>271</v>
      </c>
      <c r="B41" s="9" t="s">
        <v>272</v>
      </c>
      <c r="C41" s="9" t="s">
        <v>244</v>
      </c>
      <c r="D41" s="9" t="n">
        <v>2030</v>
      </c>
      <c r="E41" s="9" t="s">
        <v>200</v>
      </c>
      <c r="F41" s="9" t="n">
        <v>600</v>
      </c>
      <c r="G41" s="9" t="n">
        <v>600</v>
      </c>
      <c r="H41" s="9" t="n">
        <v>284</v>
      </c>
    </row>
    <row r="42" customFormat="false" ht="14.25" hidden="false" customHeight="false" outlineLevel="0" collapsed="false">
      <c r="A42" s="9" t="s">
        <v>273</v>
      </c>
      <c r="B42" s="9" t="s">
        <v>252</v>
      </c>
      <c r="C42" s="9" t="s">
        <v>247</v>
      </c>
      <c r="D42" s="9" t="n">
        <v>2035</v>
      </c>
      <c r="E42" s="9" t="s">
        <v>200</v>
      </c>
      <c r="F42" s="9" t="n">
        <v>500</v>
      </c>
      <c r="G42" s="9" t="n">
        <v>500</v>
      </c>
      <c r="H42" s="9" t="n">
        <v>799</v>
      </c>
    </row>
    <row r="43" customFormat="false" ht="14.25" hidden="false" customHeight="false" outlineLevel="0" collapsed="false">
      <c r="A43" s="9" t="s">
        <v>274</v>
      </c>
      <c r="B43" s="9" t="s">
        <v>275</v>
      </c>
      <c r="C43" s="9" t="s">
        <v>247</v>
      </c>
      <c r="D43" s="9" t="n">
        <v>2035</v>
      </c>
      <c r="E43" s="9" t="s">
        <v>200</v>
      </c>
      <c r="F43" s="9" t="n">
        <v>2000</v>
      </c>
      <c r="G43" s="9" t="n">
        <v>2000</v>
      </c>
      <c r="H43" s="9" t="n">
        <v>0</v>
      </c>
    </row>
    <row r="44" customFormat="false" ht="14.25" hidden="true" customHeight="false" outlineLevel="0" collapsed="false">
      <c r="A44" s="9" t="s">
        <v>276</v>
      </c>
      <c r="B44" s="9" t="s">
        <v>275</v>
      </c>
      <c r="C44" s="9" t="s">
        <v>247</v>
      </c>
      <c r="D44" s="9" t="n">
        <v>2040</v>
      </c>
      <c r="E44" s="9" t="s">
        <v>200</v>
      </c>
      <c r="F44" s="9" t="n">
        <v>1000</v>
      </c>
      <c r="G44" s="9" t="n">
        <v>1000</v>
      </c>
      <c r="H44" s="9" t="n">
        <v>0</v>
      </c>
    </row>
    <row r="45" customFormat="false" ht="14.25" hidden="false" customHeight="false" outlineLevel="0" collapsed="false">
      <c r="A45" s="9" t="s">
        <v>277</v>
      </c>
      <c r="B45" s="9" t="s">
        <v>198</v>
      </c>
      <c r="C45" s="9" t="s">
        <v>220</v>
      </c>
      <c r="D45" s="9" t="n">
        <v>2030</v>
      </c>
      <c r="E45" s="9" t="s">
        <v>200</v>
      </c>
      <c r="F45" s="9" t="n">
        <v>500</v>
      </c>
      <c r="G45" s="9" t="n">
        <v>500</v>
      </c>
      <c r="H45" s="9" t="n">
        <v>433.53</v>
      </c>
    </row>
    <row r="46" customFormat="false" ht="14.25" hidden="false" customHeight="false" outlineLevel="0" collapsed="false">
      <c r="A46" s="9" t="s">
        <v>278</v>
      </c>
      <c r="B46" s="9" t="s">
        <v>198</v>
      </c>
      <c r="C46" s="9" t="s">
        <v>220</v>
      </c>
      <c r="D46" s="9" t="n">
        <v>2030</v>
      </c>
      <c r="E46" s="9" t="s">
        <v>200</v>
      </c>
      <c r="F46" s="9" t="n">
        <v>500</v>
      </c>
      <c r="G46" s="9" t="n">
        <v>500</v>
      </c>
      <c r="H46" s="9" t="n">
        <v>416.53</v>
      </c>
    </row>
    <row r="47" customFormat="false" ht="14.25" hidden="false" customHeight="false" outlineLevel="0" collapsed="false">
      <c r="A47" s="9" t="s">
        <v>279</v>
      </c>
      <c r="B47" s="9" t="s">
        <v>198</v>
      </c>
      <c r="C47" s="9" t="s">
        <v>206</v>
      </c>
      <c r="D47" s="9" t="n">
        <v>2030</v>
      </c>
      <c r="E47" s="9" t="s">
        <v>200</v>
      </c>
      <c r="F47" s="9" t="n">
        <v>1000</v>
      </c>
      <c r="G47" s="9" t="n">
        <v>1000</v>
      </c>
      <c r="H47" s="9" t="n">
        <v>1385.06</v>
      </c>
    </row>
    <row r="48" customFormat="false" ht="14.25" hidden="false" customHeight="false" outlineLevel="0" collapsed="false">
      <c r="A48" s="9" t="s">
        <v>280</v>
      </c>
      <c r="B48" s="9" t="s">
        <v>198</v>
      </c>
      <c r="C48" s="9" t="s">
        <v>206</v>
      </c>
      <c r="D48" s="9" t="n">
        <v>2030</v>
      </c>
      <c r="E48" s="9" t="s">
        <v>200</v>
      </c>
      <c r="F48" s="9" t="n">
        <v>1000</v>
      </c>
      <c r="G48" s="9" t="n">
        <v>1000</v>
      </c>
      <c r="H48" s="9" t="n">
        <v>1489.92</v>
      </c>
    </row>
    <row r="49" customFormat="false" ht="14.25" hidden="true" customHeight="false" outlineLevel="0" collapsed="false">
      <c r="A49" s="9" t="s">
        <v>281</v>
      </c>
      <c r="B49" s="9" t="s">
        <v>198</v>
      </c>
      <c r="C49" s="9" t="s">
        <v>206</v>
      </c>
      <c r="D49" s="9" t="n">
        <v>2040</v>
      </c>
      <c r="E49" s="9" t="s">
        <v>200</v>
      </c>
      <c r="F49" s="9" t="n">
        <v>1000</v>
      </c>
      <c r="G49" s="9" t="n">
        <v>1000</v>
      </c>
      <c r="H49" s="9" t="n">
        <v>2285.92</v>
      </c>
    </row>
    <row r="50" customFormat="false" ht="14.25" hidden="true" customHeight="false" outlineLevel="0" collapsed="false">
      <c r="A50" s="9" t="s">
        <v>282</v>
      </c>
      <c r="B50" s="9" t="s">
        <v>198</v>
      </c>
      <c r="C50" s="9" t="s">
        <v>206</v>
      </c>
      <c r="D50" s="9" t="n">
        <v>2040</v>
      </c>
      <c r="E50" s="9" t="s">
        <v>200</v>
      </c>
      <c r="F50" s="9" t="n">
        <v>1000</v>
      </c>
      <c r="G50" s="9" t="n">
        <v>1000</v>
      </c>
      <c r="H50" s="9" t="n">
        <v>5674.1</v>
      </c>
    </row>
    <row r="51" customFormat="false" ht="14.25" hidden="false" customHeight="false" outlineLevel="0" collapsed="false">
      <c r="A51" s="9" t="s">
        <v>283</v>
      </c>
      <c r="B51" s="9" t="s">
        <v>198</v>
      </c>
      <c r="C51" s="9" t="s">
        <v>199</v>
      </c>
      <c r="D51" s="9" t="n">
        <v>2030</v>
      </c>
      <c r="E51" s="9" t="s">
        <v>200</v>
      </c>
      <c r="F51" s="9" t="n">
        <v>500</v>
      </c>
      <c r="G51" s="9" t="n">
        <v>500</v>
      </c>
      <c r="H51" s="9" t="n">
        <v>741.2</v>
      </c>
    </row>
    <row r="52" customFormat="false" ht="14.25" hidden="false" customHeight="false" outlineLevel="0" collapsed="false">
      <c r="A52" s="9" t="s">
        <v>284</v>
      </c>
      <c r="B52" s="9" t="s">
        <v>198</v>
      </c>
      <c r="C52" s="9" t="s">
        <v>199</v>
      </c>
      <c r="D52" s="9" t="n">
        <v>2030</v>
      </c>
      <c r="E52" s="9" t="s">
        <v>200</v>
      </c>
      <c r="F52" s="9" t="n">
        <v>500</v>
      </c>
      <c r="G52" s="9" t="n">
        <v>500</v>
      </c>
      <c r="H52" s="9" t="n">
        <v>781.2</v>
      </c>
    </row>
    <row r="53" customFormat="false" ht="14.25" hidden="false" customHeight="false" outlineLevel="0" collapsed="false">
      <c r="A53" s="9" t="s">
        <v>285</v>
      </c>
      <c r="B53" s="9" t="s">
        <v>198</v>
      </c>
      <c r="C53" s="9" t="s">
        <v>203</v>
      </c>
      <c r="D53" s="9" t="n">
        <v>2030</v>
      </c>
      <c r="E53" s="9" t="s">
        <v>200</v>
      </c>
      <c r="F53" s="9" t="n">
        <v>500</v>
      </c>
      <c r="G53" s="9" t="n">
        <v>500</v>
      </c>
      <c r="H53" s="9" t="n">
        <v>547.24</v>
      </c>
    </row>
    <row r="54" customFormat="false" ht="14.25" hidden="true" customHeight="false" outlineLevel="0" collapsed="false">
      <c r="A54" s="9" t="s">
        <v>286</v>
      </c>
      <c r="B54" s="9" t="s">
        <v>198</v>
      </c>
      <c r="C54" s="9" t="s">
        <v>203</v>
      </c>
      <c r="D54" s="9" t="n">
        <v>2040</v>
      </c>
      <c r="E54" s="9" t="s">
        <v>200</v>
      </c>
      <c r="F54" s="9" t="n">
        <v>500</v>
      </c>
      <c r="G54" s="9" t="n">
        <v>500</v>
      </c>
      <c r="H54" s="9" t="n">
        <v>656.3</v>
      </c>
    </row>
    <row r="55" customFormat="false" ht="14.25" hidden="true" customHeight="false" outlineLevel="0" collapsed="false">
      <c r="A55" s="9" t="s">
        <v>287</v>
      </c>
      <c r="B55" s="9" t="s">
        <v>198</v>
      </c>
      <c r="C55" s="9" t="s">
        <v>203</v>
      </c>
      <c r="D55" s="9" t="n">
        <v>2040</v>
      </c>
      <c r="E55" s="9" t="s">
        <v>200</v>
      </c>
      <c r="F55" s="9" t="n">
        <v>500</v>
      </c>
      <c r="G55" s="9" t="n">
        <v>500</v>
      </c>
      <c r="H55" s="9" t="n">
        <v>744.55</v>
      </c>
    </row>
    <row r="56" customFormat="false" ht="14.25" hidden="false" customHeight="false" outlineLevel="0" collapsed="false">
      <c r="A56" s="9" t="s">
        <v>288</v>
      </c>
      <c r="B56" s="9" t="s">
        <v>205</v>
      </c>
      <c r="C56" s="9" t="s">
        <v>206</v>
      </c>
      <c r="D56" s="9" t="n">
        <v>2030</v>
      </c>
      <c r="E56" s="9" t="s">
        <v>200</v>
      </c>
      <c r="F56" s="9" t="n">
        <v>1000</v>
      </c>
      <c r="G56" s="9" t="n">
        <v>1000</v>
      </c>
      <c r="H56" s="9" t="n">
        <v>965</v>
      </c>
    </row>
    <row r="57" customFormat="false" ht="14.25" hidden="true" customHeight="false" outlineLevel="0" collapsed="false">
      <c r="A57" s="9" t="s">
        <v>289</v>
      </c>
      <c r="B57" s="9" t="s">
        <v>205</v>
      </c>
      <c r="C57" s="9" t="s">
        <v>206</v>
      </c>
      <c r="D57" s="9" t="n">
        <v>2040</v>
      </c>
      <c r="E57" s="9" t="s">
        <v>200</v>
      </c>
      <c r="F57" s="9" t="n">
        <v>1000</v>
      </c>
      <c r="G57" s="9" t="n">
        <v>1000</v>
      </c>
      <c r="H57" s="9" t="n">
        <v>1550</v>
      </c>
    </row>
    <row r="58" customFormat="false" ht="14.25" hidden="true" customHeight="false" outlineLevel="0" collapsed="false">
      <c r="A58" s="9" t="s">
        <v>290</v>
      </c>
      <c r="B58" s="9" t="s">
        <v>205</v>
      </c>
      <c r="C58" s="9" t="s">
        <v>208</v>
      </c>
      <c r="D58" s="9" t="n">
        <v>2040</v>
      </c>
      <c r="E58" s="9" t="s">
        <v>200</v>
      </c>
      <c r="F58" s="9" t="n">
        <v>1000</v>
      </c>
      <c r="G58" s="9" t="n">
        <v>1000</v>
      </c>
      <c r="H58" s="9" t="n">
        <v>762</v>
      </c>
    </row>
    <row r="59" customFormat="false" ht="14.25" hidden="true" customHeight="false" outlineLevel="0" collapsed="false">
      <c r="A59" s="9" t="s">
        <v>291</v>
      </c>
      <c r="B59" s="9" t="s">
        <v>205</v>
      </c>
      <c r="C59" s="9" t="s">
        <v>208</v>
      </c>
      <c r="D59" s="9" t="n">
        <v>2040</v>
      </c>
      <c r="E59" s="9" t="s">
        <v>200</v>
      </c>
      <c r="F59" s="9" t="n">
        <v>1000</v>
      </c>
      <c r="G59" s="9" t="n">
        <v>1000</v>
      </c>
      <c r="H59" s="9" t="n">
        <v>722</v>
      </c>
    </row>
    <row r="60" customFormat="false" ht="14.25" hidden="false" customHeight="false" outlineLevel="0" collapsed="false">
      <c r="A60" s="9" t="s">
        <v>292</v>
      </c>
      <c r="B60" s="9" t="s">
        <v>205</v>
      </c>
      <c r="C60" s="9" t="s">
        <v>212</v>
      </c>
      <c r="D60" s="9" t="n">
        <v>2030</v>
      </c>
      <c r="E60" s="9" t="s">
        <v>200</v>
      </c>
      <c r="F60" s="9" t="n">
        <v>1000</v>
      </c>
      <c r="G60" s="9" t="n">
        <v>1000</v>
      </c>
      <c r="H60" s="9" t="n">
        <v>968.2</v>
      </c>
    </row>
    <row r="61" customFormat="false" ht="14.25" hidden="false" customHeight="false" outlineLevel="0" collapsed="false">
      <c r="A61" s="9" t="s">
        <v>293</v>
      </c>
      <c r="B61" s="9" t="s">
        <v>205</v>
      </c>
      <c r="C61" s="9" t="s">
        <v>212</v>
      </c>
      <c r="D61" s="9" t="n">
        <v>2030</v>
      </c>
      <c r="E61" s="9" t="s">
        <v>200</v>
      </c>
      <c r="F61" s="9" t="n">
        <v>1000</v>
      </c>
      <c r="G61" s="9" t="n">
        <v>1000</v>
      </c>
      <c r="H61" s="9" t="n">
        <v>1184</v>
      </c>
    </row>
    <row r="62" customFormat="false" ht="14.25" hidden="true" customHeight="false" outlineLevel="0" collapsed="false">
      <c r="A62" s="9" t="s">
        <v>294</v>
      </c>
      <c r="B62" s="9" t="s">
        <v>205</v>
      </c>
      <c r="C62" s="9" t="s">
        <v>215</v>
      </c>
      <c r="D62" s="9" t="n">
        <v>2040</v>
      </c>
      <c r="E62" s="9" t="s">
        <v>200</v>
      </c>
      <c r="F62" s="9" t="n">
        <v>2000</v>
      </c>
      <c r="G62" s="9" t="n">
        <v>2000</v>
      </c>
      <c r="H62" s="9" t="n">
        <v>2617</v>
      </c>
    </row>
    <row r="63" customFormat="false" ht="14.25" hidden="true" customHeight="false" outlineLevel="0" collapsed="false">
      <c r="A63" s="9" t="s">
        <v>295</v>
      </c>
      <c r="B63" s="9" t="s">
        <v>217</v>
      </c>
      <c r="C63" s="9" t="s">
        <v>218</v>
      </c>
      <c r="D63" s="9" t="n">
        <v>2040</v>
      </c>
      <c r="E63" s="9" t="s">
        <v>200</v>
      </c>
      <c r="F63" s="9" t="n">
        <v>500</v>
      </c>
      <c r="G63" s="9" t="n">
        <v>500</v>
      </c>
      <c r="H63" s="9" t="n">
        <v>110.5</v>
      </c>
    </row>
    <row r="64" customFormat="false" ht="14.25" hidden="true" customHeight="false" outlineLevel="0" collapsed="false">
      <c r="A64" s="9" t="s">
        <v>296</v>
      </c>
      <c r="B64" s="9" t="s">
        <v>217</v>
      </c>
      <c r="C64" s="9" t="s">
        <v>218</v>
      </c>
      <c r="D64" s="9" t="n">
        <v>2040</v>
      </c>
      <c r="E64" s="9" t="s">
        <v>200</v>
      </c>
      <c r="F64" s="9" t="n">
        <v>500</v>
      </c>
      <c r="G64" s="9" t="n">
        <v>500</v>
      </c>
      <c r="H64" s="9" t="n">
        <v>222.7</v>
      </c>
    </row>
    <row r="65" customFormat="false" ht="14.25" hidden="true" customHeight="false" outlineLevel="0" collapsed="false">
      <c r="A65" s="9" t="s">
        <v>297</v>
      </c>
      <c r="B65" s="9" t="s">
        <v>220</v>
      </c>
      <c r="C65" s="9" t="s">
        <v>208</v>
      </c>
      <c r="D65" s="9" t="n">
        <v>2040</v>
      </c>
      <c r="E65" s="9" t="s">
        <v>200</v>
      </c>
      <c r="F65" s="9" t="n">
        <v>1000</v>
      </c>
      <c r="G65" s="9" t="n">
        <v>1000</v>
      </c>
      <c r="H65" s="9" t="n">
        <v>755</v>
      </c>
    </row>
    <row r="66" customFormat="false" ht="14.25" hidden="true" customHeight="false" outlineLevel="0" collapsed="false">
      <c r="A66" s="9" t="s">
        <v>298</v>
      </c>
      <c r="B66" s="9" t="s">
        <v>220</v>
      </c>
      <c r="C66" s="9" t="s">
        <v>208</v>
      </c>
      <c r="D66" s="9" t="n">
        <v>2040</v>
      </c>
      <c r="E66" s="9" t="s">
        <v>200</v>
      </c>
      <c r="F66" s="9" t="n">
        <v>1000</v>
      </c>
      <c r="G66" s="9" t="n">
        <v>1000</v>
      </c>
      <c r="H66" s="9" t="n">
        <v>1290</v>
      </c>
    </row>
    <row r="67" customFormat="false" ht="14.25" hidden="false" customHeight="false" outlineLevel="0" collapsed="false">
      <c r="A67" s="9" t="s">
        <v>299</v>
      </c>
      <c r="B67" s="9" t="s">
        <v>220</v>
      </c>
      <c r="C67" s="9" t="s">
        <v>199</v>
      </c>
      <c r="D67" s="9" t="n">
        <v>2030</v>
      </c>
      <c r="E67" s="9" t="s">
        <v>200</v>
      </c>
      <c r="F67" s="9" t="n">
        <v>1000</v>
      </c>
      <c r="G67" s="9" t="n">
        <v>1000</v>
      </c>
      <c r="H67" s="9" t="n">
        <v>1406</v>
      </c>
    </row>
    <row r="68" customFormat="false" ht="14.25" hidden="false" customHeight="false" outlineLevel="0" collapsed="false">
      <c r="A68" s="9" t="s">
        <v>300</v>
      </c>
      <c r="B68" s="9" t="s">
        <v>220</v>
      </c>
      <c r="C68" s="9" t="s">
        <v>199</v>
      </c>
      <c r="D68" s="9" t="n">
        <v>2030</v>
      </c>
      <c r="E68" s="9" t="s">
        <v>200</v>
      </c>
      <c r="F68" s="9" t="n">
        <v>1000</v>
      </c>
      <c r="G68" s="9" t="n">
        <v>1000</v>
      </c>
      <c r="H68" s="9" t="n">
        <v>1600</v>
      </c>
    </row>
    <row r="69" customFormat="false" ht="14.25" hidden="false" customHeight="false" outlineLevel="0" collapsed="false">
      <c r="A69" s="9" t="s">
        <v>301</v>
      </c>
      <c r="B69" s="9" t="s">
        <v>206</v>
      </c>
      <c r="C69" s="9" t="s">
        <v>220</v>
      </c>
      <c r="D69" s="9" t="n">
        <v>2030</v>
      </c>
      <c r="E69" s="9" t="s">
        <v>200</v>
      </c>
      <c r="F69" s="9" t="n">
        <v>1000</v>
      </c>
      <c r="G69" s="9" t="n">
        <v>1000</v>
      </c>
      <c r="H69" s="9" t="n">
        <v>1100</v>
      </c>
    </row>
    <row r="70" customFormat="false" ht="14.25" hidden="true" customHeight="false" outlineLevel="0" collapsed="false">
      <c r="A70" s="9" t="s">
        <v>302</v>
      </c>
      <c r="B70" s="9" t="s">
        <v>206</v>
      </c>
      <c r="C70" s="9" t="s">
        <v>220</v>
      </c>
      <c r="D70" s="9" t="n">
        <v>2040</v>
      </c>
      <c r="E70" s="9" t="s">
        <v>200</v>
      </c>
      <c r="F70" s="9" t="n">
        <v>1000</v>
      </c>
      <c r="G70" s="9" t="n">
        <v>1000</v>
      </c>
      <c r="H70" s="9" t="n">
        <v>1900</v>
      </c>
    </row>
    <row r="71" customFormat="false" ht="14.25" hidden="true" customHeight="false" outlineLevel="0" collapsed="false">
      <c r="A71" s="9" t="s">
        <v>303</v>
      </c>
      <c r="B71" s="9" t="s">
        <v>206</v>
      </c>
      <c r="C71" s="9" t="s">
        <v>208</v>
      </c>
      <c r="D71" s="9" t="n">
        <v>2040</v>
      </c>
      <c r="E71" s="9" t="s">
        <v>200</v>
      </c>
      <c r="F71" s="9" t="n">
        <v>1000</v>
      </c>
      <c r="G71" s="9" t="n">
        <v>1000</v>
      </c>
      <c r="H71" s="9" t="n">
        <v>1312</v>
      </c>
    </row>
    <row r="72" customFormat="false" ht="14.25" hidden="true" customHeight="false" outlineLevel="0" collapsed="false">
      <c r="A72" s="9" t="s">
        <v>304</v>
      </c>
      <c r="B72" s="9" t="s">
        <v>206</v>
      </c>
      <c r="C72" s="9" t="s">
        <v>208</v>
      </c>
      <c r="D72" s="9" t="n">
        <v>2040</v>
      </c>
      <c r="E72" s="9" t="s">
        <v>200</v>
      </c>
      <c r="F72" s="9" t="n">
        <v>1000</v>
      </c>
      <c r="G72" s="9" t="n">
        <v>1000</v>
      </c>
      <c r="H72" s="9" t="n">
        <v>1405</v>
      </c>
    </row>
    <row r="73" customFormat="false" ht="14.25" hidden="true" customHeight="false" outlineLevel="0" collapsed="false">
      <c r="A73" s="9" t="s">
        <v>305</v>
      </c>
      <c r="B73" s="9" t="s">
        <v>228</v>
      </c>
      <c r="C73" s="9" t="s">
        <v>208</v>
      </c>
      <c r="D73" s="9" t="n">
        <v>2040</v>
      </c>
      <c r="E73" s="9" t="s">
        <v>200</v>
      </c>
      <c r="F73" s="9" t="n">
        <v>1500</v>
      </c>
      <c r="G73" s="9" t="n">
        <v>1500</v>
      </c>
      <c r="H73" s="9" t="n">
        <v>2977</v>
      </c>
    </row>
    <row r="74" customFormat="false" ht="14.25" hidden="true" customHeight="false" outlineLevel="0" collapsed="false">
      <c r="A74" s="9" t="s">
        <v>306</v>
      </c>
      <c r="B74" s="9" t="s">
        <v>228</v>
      </c>
      <c r="C74" s="9" t="s">
        <v>208</v>
      </c>
      <c r="D74" s="9" t="n">
        <v>2040</v>
      </c>
      <c r="E74" s="9" t="s">
        <v>200</v>
      </c>
      <c r="F74" s="9" t="n">
        <v>1500</v>
      </c>
      <c r="G74" s="9" t="n">
        <v>1500</v>
      </c>
      <c r="H74" s="9" t="n">
        <v>4065</v>
      </c>
    </row>
    <row r="75" customFormat="false" ht="14.25" hidden="true" customHeight="false" outlineLevel="0" collapsed="false">
      <c r="A75" s="9" t="s">
        <v>307</v>
      </c>
      <c r="B75" s="9" t="s">
        <v>228</v>
      </c>
      <c r="C75" s="9" t="s">
        <v>308</v>
      </c>
      <c r="D75" s="9" t="n">
        <v>2040</v>
      </c>
      <c r="E75" s="9" t="s">
        <v>200</v>
      </c>
      <c r="F75" s="9" t="n">
        <v>500</v>
      </c>
      <c r="G75" s="9" t="n">
        <v>500</v>
      </c>
      <c r="H75" s="9" t="n">
        <v>81</v>
      </c>
    </row>
    <row r="76" customFormat="false" ht="14.25" hidden="true" customHeight="false" outlineLevel="0" collapsed="false">
      <c r="A76" s="9" t="s">
        <v>309</v>
      </c>
      <c r="B76" s="9" t="s">
        <v>228</v>
      </c>
      <c r="C76" s="9" t="s">
        <v>308</v>
      </c>
      <c r="D76" s="9" t="n">
        <v>2040</v>
      </c>
      <c r="E76" s="9" t="s">
        <v>200</v>
      </c>
      <c r="F76" s="9" t="n">
        <v>500</v>
      </c>
      <c r="G76" s="9" t="n">
        <v>500</v>
      </c>
      <c r="H76" s="9" t="n">
        <v>110</v>
      </c>
    </row>
    <row r="77" customFormat="false" ht="14.25" hidden="true" customHeight="false" outlineLevel="0" collapsed="false">
      <c r="A77" s="9" t="s">
        <v>310</v>
      </c>
      <c r="B77" s="9" t="s">
        <v>228</v>
      </c>
      <c r="C77" s="9" t="s">
        <v>308</v>
      </c>
      <c r="D77" s="9" t="n">
        <v>2040</v>
      </c>
      <c r="E77" s="9" t="s">
        <v>200</v>
      </c>
      <c r="F77" s="9" t="n">
        <v>500</v>
      </c>
      <c r="G77" s="9" t="n">
        <v>500</v>
      </c>
      <c r="H77" s="9" t="n">
        <v>131</v>
      </c>
    </row>
    <row r="78" customFormat="false" ht="14.25" hidden="true" customHeight="false" outlineLevel="0" collapsed="false">
      <c r="A78" s="9" t="s">
        <v>311</v>
      </c>
      <c r="B78" s="9" t="s">
        <v>228</v>
      </c>
      <c r="C78" s="9" t="s">
        <v>308</v>
      </c>
      <c r="D78" s="9" t="n">
        <v>2040</v>
      </c>
      <c r="E78" s="9" t="s">
        <v>200</v>
      </c>
      <c r="F78" s="9" t="n">
        <v>500</v>
      </c>
      <c r="G78" s="9" t="n">
        <v>500</v>
      </c>
      <c r="H78" s="9" t="n">
        <v>151.6</v>
      </c>
    </row>
    <row r="79" customFormat="false" ht="14.25" hidden="false" customHeight="false" outlineLevel="0" collapsed="false">
      <c r="A79" s="9" t="s">
        <v>312</v>
      </c>
      <c r="B79" s="9" t="s">
        <v>208</v>
      </c>
      <c r="C79" s="9" t="s">
        <v>232</v>
      </c>
      <c r="D79" s="9" t="n">
        <v>2030</v>
      </c>
      <c r="E79" s="9" t="s">
        <v>200</v>
      </c>
      <c r="F79" s="9" t="n">
        <v>700</v>
      </c>
      <c r="G79" s="9" t="n">
        <v>700</v>
      </c>
      <c r="H79" s="9" t="n">
        <v>1800</v>
      </c>
    </row>
    <row r="80" customFormat="false" ht="14.25" hidden="false" customHeight="false" outlineLevel="0" collapsed="false">
      <c r="A80" s="9" t="s">
        <v>313</v>
      </c>
      <c r="B80" s="9" t="s">
        <v>208</v>
      </c>
      <c r="C80" s="9" t="s">
        <v>232</v>
      </c>
      <c r="D80" s="9" t="n">
        <v>2030</v>
      </c>
      <c r="E80" s="9" t="s">
        <v>200</v>
      </c>
      <c r="F80" s="9" t="n">
        <v>700</v>
      </c>
      <c r="G80" s="9" t="n">
        <v>700</v>
      </c>
      <c r="H80" s="9" t="n">
        <v>2450</v>
      </c>
    </row>
    <row r="81" customFormat="false" ht="14.25" hidden="false" customHeight="false" outlineLevel="0" collapsed="false">
      <c r="A81" s="9" t="s">
        <v>314</v>
      </c>
      <c r="B81" s="9" t="s">
        <v>208</v>
      </c>
      <c r="C81" s="9" t="s">
        <v>199</v>
      </c>
      <c r="D81" s="9" t="n">
        <v>2030</v>
      </c>
      <c r="E81" s="9" t="s">
        <v>200</v>
      </c>
      <c r="F81" s="9" t="n">
        <v>1000</v>
      </c>
      <c r="G81" s="9" t="n">
        <v>1000</v>
      </c>
      <c r="H81" s="9" t="n">
        <v>1560</v>
      </c>
    </row>
    <row r="82" customFormat="false" ht="14.25" hidden="false" customHeight="false" outlineLevel="0" collapsed="false">
      <c r="A82" s="9" t="s">
        <v>315</v>
      </c>
      <c r="B82" s="9" t="s">
        <v>208</v>
      </c>
      <c r="C82" s="9" t="s">
        <v>199</v>
      </c>
      <c r="D82" s="9" t="n">
        <v>2030</v>
      </c>
      <c r="E82" s="9" t="s">
        <v>200</v>
      </c>
      <c r="F82" s="9" t="n">
        <v>1000</v>
      </c>
      <c r="G82" s="9" t="n">
        <v>1000</v>
      </c>
      <c r="H82" s="9" t="n">
        <v>2540</v>
      </c>
    </row>
    <row r="83" customFormat="false" ht="14.25" hidden="true" customHeight="false" outlineLevel="0" collapsed="false">
      <c r="A83" s="9" t="s">
        <v>316</v>
      </c>
      <c r="B83" s="9" t="s">
        <v>208</v>
      </c>
      <c r="C83" s="9" t="s">
        <v>215</v>
      </c>
      <c r="D83" s="9" t="n">
        <v>2040</v>
      </c>
      <c r="E83" s="9" t="s">
        <v>200</v>
      </c>
      <c r="F83" s="9" t="n">
        <v>1300</v>
      </c>
      <c r="G83" s="9" t="n">
        <v>1300</v>
      </c>
      <c r="H83" s="9" t="n">
        <v>1350</v>
      </c>
    </row>
    <row r="84" customFormat="false" ht="14.25" hidden="true" customHeight="false" outlineLevel="0" collapsed="false">
      <c r="A84" s="9" t="s">
        <v>317</v>
      </c>
      <c r="B84" s="9" t="s">
        <v>208</v>
      </c>
      <c r="C84" s="9" t="s">
        <v>215</v>
      </c>
      <c r="D84" s="9" t="n">
        <v>2040</v>
      </c>
      <c r="E84" s="9" t="s">
        <v>200</v>
      </c>
      <c r="F84" s="9" t="n">
        <v>1300</v>
      </c>
      <c r="G84" s="9" t="n">
        <v>1300</v>
      </c>
      <c r="H84" s="9" t="n">
        <v>1635</v>
      </c>
    </row>
    <row r="85" customFormat="false" ht="14.25" hidden="true" customHeight="false" outlineLevel="0" collapsed="false">
      <c r="A85" s="9" t="s">
        <v>318</v>
      </c>
      <c r="B85" s="9" t="s">
        <v>258</v>
      </c>
      <c r="C85" s="9" t="s">
        <v>218</v>
      </c>
      <c r="D85" s="9" t="n">
        <v>2040</v>
      </c>
      <c r="E85" s="9" t="s">
        <v>200</v>
      </c>
      <c r="F85" s="9" t="n">
        <v>500</v>
      </c>
      <c r="G85" s="9" t="n">
        <v>500</v>
      </c>
      <c r="H85" s="9" t="n">
        <v>347.8</v>
      </c>
    </row>
    <row r="86" customFormat="false" ht="14.25" hidden="true" customHeight="false" outlineLevel="0" collapsed="false">
      <c r="A86" s="9" t="s">
        <v>319</v>
      </c>
      <c r="B86" s="9" t="s">
        <v>258</v>
      </c>
      <c r="C86" s="9" t="s">
        <v>218</v>
      </c>
      <c r="D86" s="9" t="n">
        <v>2040</v>
      </c>
      <c r="E86" s="9" t="s">
        <v>200</v>
      </c>
      <c r="F86" s="9" t="n">
        <v>500</v>
      </c>
      <c r="G86" s="9" t="n">
        <v>500</v>
      </c>
      <c r="H86" s="9" t="n">
        <v>477.8</v>
      </c>
    </row>
    <row r="87" customFormat="false" ht="14.25" hidden="true" customHeight="false" outlineLevel="0" collapsed="false">
      <c r="A87" s="9" t="s">
        <v>320</v>
      </c>
      <c r="B87" s="9" t="s">
        <v>199</v>
      </c>
      <c r="C87" s="9" t="s">
        <v>203</v>
      </c>
      <c r="D87" s="9" t="n">
        <v>2040</v>
      </c>
      <c r="E87" s="9" t="s">
        <v>200</v>
      </c>
      <c r="F87" s="9" t="n">
        <v>500</v>
      </c>
      <c r="G87" s="9" t="n">
        <v>500</v>
      </c>
      <c r="H87" s="9" t="n">
        <v>540</v>
      </c>
    </row>
    <row r="88" customFormat="false" ht="14.25" hidden="true" customHeight="false" outlineLevel="0" collapsed="false">
      <c r="A88" s="9" t="s">
        <v>321</v>
      </c>
      <c r="B88" s="9" t="s">
        <v>199</v>
      </c>
      <c r="C88" s="9" t="s">
        <v>203</v>
      </c>
      <c r="D88" s="9" t="n">
        <v>2040</v>
      </c>
      <c r="E88" s="9" t="s">
        <v>200</v>
      </c>
      <c r="F88" s="9" t="n">
        <v>500</v>
      </c>
      <c r="G88" s="9" t="n">
        <v>500</v>
      </c>
      <c r="H88" s="9" t="n">
        <v>640</v>
      </c>
    </row>
    <row r="89" customFormat="false" ht="14.25" hidden="false" customHeight="false" outlineLevel="0" collapsed="false">
      <c r="A89" s="9" t="s">
        <v>322</v>
      </c>
      <c r="B89" s="9" t="s">
        <v>323</v>
      </c>
      <c r="C89" s="9" t="s">
        <v>324</v>
      </c>
      <c r="D89" s="9" t="n">
        <v>2030</v>
      </c>
      <c r="E89" s="9" t="s">
        <v>200</v>
      </c>
      <c r="F89" s="9" t="n">
        <v>500</v>
      </c>
      <c r="G89" s="9" t="n">
        <v>500</v>
      </c>
      <c r="H89" s="9" t="n">
        <v>950</v>
      </c>
    </row>
    <row r="90" customFormat="false" ht="14.25" hidden="false" customHeight="false" outlineLevel="0" collapsed="false">
      <c r="A90" s="9" t="s">
        <v>325</v>
      </c>
      <c r="B90" s="9" t="s">
        <v>323</v>
      </c>
      <c r="C90" s="9" t="s">
        <v>324</v>
      </c>
      <c r="D90" s="9" t="n">
        <v>2030</v>
      </c>
      <c r="E90" s="9" t="s">
        <v>200</v>
      </c>
      <c r="F90" s="9" t="n">
        <v>500</v>
      </c>
      <c r="G90" s="9" t="n">
        <v>500</v>
      </c>
      <c r="H90" s="9" t="n">
        <v>1150</v>
      </c>
    </row>
    <row r="91" customFormat="false" ht="14.25" hidden="false" customHeight="false" outlineLevel="0" collapsed="false">
      <c r="A91" s="9" t="s">
        <v>326</v>
      </c>
      <c r="B91" s="9" t="s">
        <v>212</v>
      </c>
      <c r="C91" s="9" t="s">
        <v>215</v>
      </c>
      <c r="D91" s="9" t="n">
        <v>2030</v>
      </c>
      <c r="E91" s="9" t="s">
        <v>200</v>
      </c>
      <c r="F91" s="9" t="n">
        <v>1000</v>
      </c>
      <c r="G91" s="9" t="n">
        <v>1000</v>
      </c>
      <c r="H91" s="9" t="n">
        <v>1510</v>
      </c>
    </row>
    <row r="92" customFormat="false" ht="14.25" hidden="false" customHeight="false" outlineLevel="0" collapsed="false">
      <c r="A92" s="9" t="s">
        <v>327</v>
      </c>
      <c r="B92" s="9" t="s">
        <v>212</v>
      </c>
      <c r="C92" s="9" t="s">
        <v>215</v>
      </c>
      <c r="D92" s="9" t="n">
        <v>2030</v>
      </c>
      <c r="E92" s="9" t="s">
        <v>200</v>
      </c>
      <c r="F92" s="9" t="n">
        <v>1000</v>
      </c>
      <c r="G92" s="9" t="n">
        <v>1000</v>
      </c>
      <c r="H92" s="9" t="n">
        <v>1520</v>
      </c>
    </row>
    <row r="93" customFormat="false" ht="14.25" hidden="true" customHeight="false" outlineLevel="0" collapsed="false">
      <c r="A93" s="9" t="s">
        <v>328</v>
      </c>
      <c r="B93" s="9" t="s">
        <v>329</v>
      </c>
      <c r="C93" s="9" t="s">
        <v>215</v>
      </c>
      <c r="D93" s="9" t="n">
        <v>2040</v>
      </c>
      <c r="E93" s="9" t="s">
        <v>200</v>
      </c>
      <c r="F93" s="9" t="n">
        <v>1000</v>
      </c>
      <c r="G93" s="9" t="n">
        <v>1000</v>
      </c>
      <c r="H93" s="9" t="n">
        <v>2390</v>
      </c>
    </row>
    <row r="94" customFormat="false" ht="14.25" hidden="false" customHeight="false" outlineLevel="0" collapsed="false">
      <c r="A94" s="9" t="s">
        <v>330</v>
      </c>
      <c r="B94" s="9" t="s">
        <v>215</v>
      </c>
      <c r="C94" s="9" t="s">
        <v>232</v>
      </c>
      <c r="D94" s="9" t="n">
        <v>2030</v>
      </c>
      <c r="E94" s="9" t="s">
        <v>200</v>
      </c>
      <c r="F94" s="9" t="n">
        <v>700</v>
      </c>
      <c r="G94" s="9" t="n">
        <v>700</v>
      </c>
      <c r="H94" s="9" t="n">
        <v>850</v>
      </c>
    </row>
    <row r="95" customFormat="false" ht="14.25" hidden="false" customHeight="false" outlineLevel="0" collapsed="false">
      <c r="A95" s="9" t="s">
        <v>331</v>
      </c>
      <c r="B95" s="9" t="s">
        <v>215</v>
      </c>
      <c r="C95" s="9" t="s">
        <v>233</v>
      </c>
      <c r="D95" s="9" t="n">
        <v>2030</v>
      </c>
      <c r="E95" s="9" t="s">
        <v>200</v>
      </c>
      <c r="F95" s="9" t="n">
        <v>700</v>
      </c>
      <c r="G95" s="9" t="n">
        <v>700</v>
      </c>
      <c r="H95" s="9" t="n">
        <v>950</v>
      </c>
    </row>
    <row r="96" customFormat="false" ht="14.25" hidden="false" customHeight="false" outlineLevel="0" collapsed="false">
      <c r="A96" s="9" t="s">
        <v>332</v>
      </c>
      <c r="B96" s="9" t="s">
        <v>206</v>
      </c>
      <c r="C96" s="9" t="s">
        <v>212</v>
      </c>
      <c r="D96" s="9" t="n">
        <v>2030</v>
      </c>
      <c r="E96" s="9" t="s">
        <v>200</v>
      </c>
      <c r="F96" s="9" t="n">
        <v>1000</v>
      </c>
      <c r="G96" s="9" t="n">
        <v>1000</v>
      </c>
      <c r="H96" s="9" t="n">
        <v>2075</v>
      </c>
    </row>
    <row r="97" customFormat="false" ht="14.25" hidden="true" customHeight="false" outlineLevel="0" collapsed="false">
      <c r="A97" s="9" t="s">
        <v>333</v>
      </c>
      <c r="B97" s="9" t="s">
        <v>206</v>
      </c>
      <c r="C97" s="9" t="s">
        <v>212</v>
      </c>
      <c r="D97" s="9" t="n">
        <v>2040</v>
      </c>
      <c r="E97" s="9" t="s">
        <v>200</v>
      </c>
      <c r="F97" s="9" t="n">
        <v>1000</v>
      </c>
      <c r="G97" s="9" t="n">
        <v>1000</v>
      </c>
      <c r="H97" s="9" t="n">
        <v>2125</v>
      </c>
    </row>
    <row r="98" customFormat="false" ht="14.25" hidden="true" customHeight="false" outlineLevel="0" collapsed="false">
      <c r="A98" s="9" t="s">
        <v>334</v>
      </c>
      <c r="B98" s="9" t="s">
        <v>205</v>
      </c>
      <c r="C98" s="9" t="s">
        <v>210</v>
      </c>
      <c r="D98" s="9" t="n">
        <v>2040</v>
      </c>
      <c r="E98" s="9" t="s">
        <v>200</v>
      </c>
      <c r="F98" s="9" t="n">
        <v>500</v>
      </c>
      <c r="G98" s="9" t="n">
        <v>500</v>
      </c>
      <c r="H98" s="9" t="n">
        <v>210</v>
      </c>
    </row>
    <row r="99" customFormat="false" ht="14.25" hidden="true" customHeight="false" outlineLevel="0" collapsed="false">
      <c r="A99" s="9" t="s">
        <v>335</v>
      </c>
      <c r="B99" s="9" t="s">
        <v>329</v>
      </c>
      <c r="C99" s="9" t="s">
        <v>215</v>
      </c>
      <c r="D99" s="9" t="n">
        <v>2040</v>
      </c>
      <c r="E99" s="9" t="s">
        <v>200</v>
      </c>
      <c r="F99" s="9" t="n">
        <v>1000</v>
      </c>
      <c r="G99" s="9" t="n">
        <v>1000</v>
      </c>
      <c r="H99" s="9" t="n">
        <v>2800</v>
      </c>
    </row>
    <row r="100" customFormat="false" ht="14.25" hidden="true" customHeight="false" outlineLevel="0" collapsed="false">
      <c r="A100" s="9" t="s">
        <v>336</v>
      </c>
      <c r="B100" s="9" t="s">
        <v>337</v>
      </c>
      <c r="C100" s="9" t="s">
        <v>270</v>
      </c>
      <c r="D100" s="9" t="n">
        <v>2040</v>
      </c>
      <c r="E100" s="9" t="s">
        <v>200</v>
      </c>
      <c r="F100" s="9" t="n">
        <v>500</v>
      </c>
      <c r="G100" s="9" t="n">
        <v>500</v>
      </c>
      <c r="H100" s="9" t="n">
        <v>9.4</v>
      </c>
    </row>
    <row r="101" customFormat="false" ht="14.25" hidden="true" customHeight="false" outlineLevel="0" collapsed="false">
      <c r="A101" s="9" t="s">
        <v>338</v>
      </c>
      <c r="B101" s="9" t="s">
        <v>337</v>
      </c>
      <c r="C101" s="9" t="s">
        <v>270</v>
      </c>
      <c r="D101" s="9" t="n">
        <v>2040</v>
      </c>
      <c r="E101" s="9" t="s">
        <v>200</v>
      </c>
      <c r="F101" s="9" t="n">
        <v>500</v>
      </c>
      <c r="G101" s="9" t="n">
        <v>500</v>
      </c>
      <c r="H101" s="9" t="n">
        <v>10.5</v>
      </c>
    </row>
    <row r="102" customFormat="false" ht="14.25" hidden="true" customHeight="false" outlineLevel="0" collapsed="false">
      <c r="A102" s="9" t="s">
        <v>339</v>
      </c>
      <c r="B102" s="9" t="s">
        <v>337</v>
      </c>
      <c r="C102" s="9" t="s">
        <v>239</v>
      </c>
      <c r="D102" s="9" t="n">
        <v>2040</v>
      </c>
      <c r="E102" s="9" t="s">
        <v>200</v>
      </c>
      <c r="F102" s="9" t="n">
        <v>500</v>
      </c>
      <c r="G102" s="9" t="n">
        <v>500</v>
      </c>
      <c r="H102" s="9" t="n">
        <v>24.5</v>
      </c>
    </row>
    <row r="103" customFormat="false" ht="14.25" hidden="true" customHeight="false" outlineLevel="0" collapsed="false">
      <c r="A103" s="9" t="s">
        <v>340</v>
      </c>
      <c r="B103" s="9" t="s">
        <v>337</v>
      </c>
      <c r="C103" s="9" t="s">
        <v>239</v>
      </c>
      <c r="D103" s="9" t="n">
        <v>2040</v>
      </c>
      <c r="E103" s="9" t="s">
        <v>200</v>
      </c>
      <c r="F103" s="9" t="n">
        <v>500</v>
      </c>
      <c r="G103" s="9" t="n">
        <v>500</v>
      </c>
      <c r="H103" s="9" t="n">
        <v>92.8</v>
      </c>
    </row>
    <row r="104" customFormat="false" ht="14.25" hidden="true" customHeight="false" outlineLevel="0" collapsed="false">
      <c r="A104" s="9" t="s">
        <v>341</v>
      </c>
      <c r="B104" s="9" t="s">
        <v>337</v>
      </c>
      <c r="C104" s="9" t="s">
        <v>261</v>
      </c>
      <c r="D104" s="9" t="n">
        <v>2040</v>
      </c>
      <c r="E104" s="9" t="s">
        <v>200</v>
      </c>
      <c r="F104" s="9" t="n">
        <v>500</v>
      </c>
      <c r="G104" s="9" t="n">
        <v>500</v>
      </c>
      <c r="H104" s="9" t="n">
        <v>47.7</v>
      </c>
    </row>
    <row r="105" customFormat="false" ht="14.25" hidden="true" customHeight="false" outlineLevel="0" collapsed="false">
      <c r="A105" s="9" t="s">
        <v>342</v>
      </c>
      <c r="B105" s="9" t="s">
        <v>337</v>
      </c>
      <c r="C105" s="9" t="s">
        <v>261</v>
      </c>
      <c r="D105" s="9" t="n">
        <v>2040</v>
      </c>
      <c r="E105" s="9" t="s">
        <v>200</v>
      </c>
      <c r="F105" s="9" t="n">
        <v>500</v>
      </c>
      <c r="G105" s="9" t="n">
        <v>500</v>
      </c>
      <c r="H105" s="9" t="n">
        <v>77.7</v>
      </c>
    </row>
    <row r="106" customFormat="false" ht="14.25" hidden="true" customHeight="false" outlineLevel="0" collapsed="false">
      <c r="A106" s="9" t="s">
        <v>343</v>
      </c>
      <c r="B106" s="9" t="s">
        <v>337</v>
      </c>
      <c r="C106" s="9" t="s">
        <v>258</v>
      </c>
      <c r="D106" s="9" t="n">
        <v>2040</v>
      </c>
      <c r="E106" s="9" t="s">
        <v>200</v>
      </c>
      <c r="F106" s="9" t="n">
        <v>500</v>
      </c>
      <c r="G106" s="9" t="n">
        <v>500</v>
      </c>
      <c r="H106" s="9" t="n">
        <v>232</v>
      </c>
    </row>
    <row r="107" customFormat="false" ht="14.25" hidden="true" customHeight="false" outlineLevel="0" collapsed="false">
      <c r="A107" s="9" t="s">
        <v>344</v>
      </c>
      <c r="B107" s="9" t="s">
        <v>337</v>
      </c>
      <c r="C107" s="9" t="s">
        <v>258</v>
      </c>
      <c r="D107" s="9" t="n">
        <v>2040</v>
      </c>
      <c r="E107" s="9" t="s">
        <v>200</v>
      </c>
      <c r="F107" s="9" t="n">
        <v>500</v>
      </c>
      <c r="G107" s="9" t="n">
        <v>500</v>
      </c>
      <c r="H107" s="9" t="n">
        <v>240</v>
      </c>
    </row>
    <row r="108" customFormat="false" ht="14.25" hidden="true" customHeight="false" outlineLevel="0" collapsed="false">
      <c r="A108" s="9" t="s">
        <v>345</v>
      </c>
      <c r="B108" s="9" t="s">
        <v>337</v>
      </c>
      <c r="C108" s="9" t="s">
        <v>270</v>
      </c>
      <c r="D108" s="9" t="n">
        <v>2040</v>
      </c>
      <c r="E108" s="9" t="s">
        <v>200</v>
      </c>
      <c r="F108" s="9" t="n">
        <v>500</v>
      </c>
      <c r="G108" s="9" t="n">
        <v>500</v>
      </c>
      <c r="H108" s="9" t="n">
        <v>12.5</v>
      </c>
    </row>
    <row r="109" customFormat="false" ht="14.25" hidden="true" customHeight="false" outlineLevel="0" collapsed="false">
      <c r="A109" s="9" t="s">
        <v>346</v>
      </c>
      <c r="B109" s="9" t="s">
        <v>337</v>
      </c>
      <c r="C109" s="9" t="s">
        <v>270</v>
      </c>
      <c r="D109" s="9" t="n">
        <v>2040</v>
      </c>
      <c r="E109" s="9" t="s">
        <v>200</v>
      </c>
      <c r="F109" s="9" t="n">
        <v>500</v>
      </c>
      <c r="G109" s="9" t="n">
        <v>500</v>
      </c>
      <c r="H109" s="9" t="n">
        <v>36</v>
      </c>
    </row>
    <row r="110" customFormat="false" ht="14.25" hidden="false" customHeight="false" outlineLevel="0" collapsed="false">
      <c r="A110" s="9" t="s">
        <v>347</v>
      </c>
      <c r="B110" s="9" t="s">
        <v>198</v>
      </c>
      <c r="C110" s="9" t="s">
        <v>241</v>
      </c>
      <c r="D110" s="9" t="n">
        <v>2030</v>
      </c>
      <c r="E110" s="9" t="s">
        <v>200</v>
      </c>
      <c r="F110" s="9" t="n">
        <v>500</v>
      </c>
      <c r="G110" s="9" t="n">
        <v>500</v>
      </c>
      <c r="H110" s="9" t="n">
        <v>365.38</v>
      </c>
    </row>
    <row r="111" customFormat="false" ht="14.25" hidden="false" customHeight="false" outlineLevel="0" collapsed="false">
      <c r="A111" s="9" t="s">
        <v>348</v>
      </c>
      <c r="B111" s="9" t="s">
        <v>198</v>
      </c>
      <c r="C111" s="9" t="s">
        <v>241</v>
      </c>
      <c r="D111" s="9" t="n">
        <v>2030</v>
      </c>
      <c r="E111" s="9" t="s">
        <v>200</v>
      </c>
      <c r="F111" s="9" t="n">
        <v>500</v>
      </c>
      <c r="G111" s="9" t="n">
        <v>500</v>
      </c>
      <c r="H111" s="9" t="n">
        <v>499.18</v>
      </c>
    </row>
    <row r="112" customFormat="false" ht="14.25" hidden="true" customHeight="false" outlineLevel="0" collapsed="false">
      <c r="A112" s="9" t="s">
        <v>349</v>
      </c>
      <c r="B112" s="9" t="s">
        <v>198</v>
      </c>
      <c r="C112" s="9" t="s">
        <v>241</v>
      </c>
      <c r="D112" s="9" t="n">
        <v>2040</v>
      </c>
      <c r="E112" s="9" t="s">
        <v>200</v>
      </c>
      <c r="F112" s="9" t="n">
        <v>500</v>
      </c>
      <c r="G112" s="9" t="n">
        <v>500</v>
      </c>
      <c r="H112" s="9" t="n">
        <v>1314.5</v>
      </c>
    </row>
    <row r="113" customFormat="false" ht="14.25" hidden="false" customHeight="false" outlineLevel="0" collapsed="false">
      <c r="A113" s="9" t="s">
        <v>350</v>
      </c>
      <c r="B113" s="9" t="s">
        <v>198</v>
      </c>
      <c r="C113" s="9" t="s">
        <v>265</v>
      </c>
      <c r="D113" s="9" t="n">
        <v>2030</v>
      </c>
      <c r="E113" s="9" t="s">
        <v>200</v>
      </c>
      <c r="F113" s="9" t="n">
        <v>1000</v>
      </c>
      <c r="G113" s="9" t="n">
        <v>1000</v>
      </c>
      <c r="H113" s="9" t="n">
        <v>866.4</v>
      </c>
    </row>
    <row r="114" customFormat="false" ht="14.25" hidden="true" customHeight="false" outlineLevel="0" collapsed="false">
      <c r="A114" s="9" t="s">
        <v>351</v>
      </c>
      <c r="B114" s="9" t="s">
        <v>198</v>
      </c>
      <c r="C114" s="9" t="s">
        <v>265</v>
      </c>
      <c r="D114" s="9" t="n">
        <v>2040</v>
      </c>
      <c r="E114" s="9" t="s">
        <v>200</v>
      </c>
      <c r="F114" s="9" t="n">
        <v>1000</v>
      </c>
      <c r="G114" s="9" t="n">
        <v>1000</v>
      </c>
      <c r="H114" s="9" t="n">
        <v>1703.05</v>
      </c>
    </row>
    <row r="115" customFormat="false" ht="14.25" hidden="true" customHeight="false" outlineLevel="0" collapsed="false">
      <c r="A115" s="9" t="s">
        <v>352</v>
      </c>
      <c r="B115" s="9" t="s">
        <v>236</v>
      </c>
      <c r="C115" s="9" t="s">
        <v>270</v>
      </c>
      <c r="D115" s="9" t="n">
        <v>2040</v>
      </c>
      <c r="E115" s="9" t="s">
        <v>200</v>
      </c>
      <c r="F115" s="9" t="n">
        <v>500</v>
      </c>
      <c r="G115" s="9" t="n">
        <v>500</v>
      </c>
      <c r="H115" s="9" t="n">
        <v>18.86</v>
      </c>
    </row>
    <row r="116" customFormat="false" ht="14.25" hidden="true" customHeight="false" outlineLevel="0" collapsed="false">
      <c r="A116" s="9" t="s">
        <v>353</v>
      </c>
      <c r="B116" s="9" t="s">
        <v>236</v>
      </c>
      <c r="C116" s="9" t="s">
        <v>270</v>
      </c>
      <c r="D116" s="9" t="n">
        <v>2040</v>
      </c>
      <c r="E116" s="9" t="s">
        <v>200</v>
      </c>
      <c r="F116" s="9" t="n">
        <v>500</v>
      </c>
      <c r="G116" s="9" t="n">
        <v>500</v>
      </c>
      <c r="H116" s="9" t="n">
        <v>24</v>
      </c>
    </row>
    <row r="117" customFormat="false" ht="14.25" hidden="true" customHeight="false" outlineLevel="0" collapsed="false">
      <c r="A117" s="9" t="s">
        <v>354</v>
      </c>
      <c r="B117" s="9" t="s">
        <v>236</v>
      </c>
      <c r="C117" s="9" t="s">
        <v>237</v>
      </c>
      <c r="D117" s="9" t="n">
        <v>2040</v>
      </c>
      <c r="E117" s="9" t="s">
        <v>200</v>
      </c>
      <c r="F117" s="9" t="n">
        <v>500</v>
      </c>
      <c r="G117" s="9" t="n">
        <v>500</v>
      </c>
      <c r="H117" s="9" t="n">
        <v>162</v>
      </c>
    </row>
    <row r="118" customFormat="false" ht="14.25" hidden="true" customHeight="false" outlineLevel="0" collapsed="false">
      <c r="A118" s="9" t="s">
        <v>355</v>
      </c>
      <c r="B118" s="9" t="s">
        <v>236</v>
      </c>
      <c r="C118" s="9" t="s">
        <v>237</v>
      </c>
      <c r="D118" s="9" t="n">
        <v>2040</v>
      </c>
      <c r="E118" s="9" t="s">
        <v>200</v>
      </c>
      <c r="F118" s="9" t="n">
        <v>500</v>
      </c>
      <c r="G118" s="9" t="n">
        <v>500</v>
      </c>
      <c r="H118" s="9" t="n">
        <v>117</v>
      </c>
    </row>
    <row r="119" customFormat="false" ht="14.25" hidden="true" customHeight="false" outlineLevel="0" collapsed="false">
      <c r="A119" s="9" t="s">
        <v>356</v>
      </c>
      <c r="B119" s="9" t="s">
        <v>236</v>
      </c>
      <c r="C119" s="9" t="s">
        <v>237</v>
      </c>
      <c r="D119" s="9" t="n">
        <v>2040</v>
      </c>
      <c r="E119" s="9" t="s">
        <v>200</v>
      </c>
      <c r="F119" s="9" t="n">
        <v>500</v>
      </c>
      <c r="G119" s="9" t="n">
        <v>500</v>
      </c>
      <c r="H119" s="9" t="n">
        <v>132.1</v>
      </c>
    </row>
    <row r="120" customFormat="false" ht="14.25" hidden="true" customHeight="false" outlineLevel="0" collapsed="false">
      <c r="A120" s="9" t="s">
        <v>357</v>
      </c>
      <c r="B120" s="9" t="s">
        <v>236</v>
      </c>
      <c r="C120" s="9" t="s">
        <v>270</v>
      </c>
      <c r="D120" s="9" t="n">
        <v>2040</v>
      </c>
      <c r="E120" s="9" t="s">
        <v>200</v>
      </c>
      <c r="F120" s="9" t="n">
        <v>500</v>
      </c>
      <c r="G120" s="9" t="n">
        <v>500</v>
      </c>
      <c r="H120" s="9" t="n">
        <v>36.88</v>
      </c>
    </row>
    <row r="121" customFormat="false" ht="14.25" hidden="true" customHeight="false" outlineLevel="0" collapsed="false">
      <c r="A121" s="9" t="s">
        <v>358</v>
      </c>
      <c r="B121" s="9" t="s">
        <v>236</v>
      </c>
      <c r="C121" s="9" t="s">
        <v>270</v>
      </c>
      <c r="D121" s="9" t="n">
        <v>2040</v>
      </c>
      <c r="E121" s="9" t="s">
        <v>200</v>
      </c>
      <c r="F121" s="9" t="n">
        <v>500</v>
      </c>
      <c r="G121" s="9" t="n">
        <v>500</v>
      </c>
      <c r="H121" s="9" t="n">
        <v>29.46</v>
      </c>
    </row>
    <row r="122" customFormat="false" ht="14.25" hidden="true" customHeight="false" outlineLevel="0" collapsed="false">
      <c r="A122" s="9" t="s">
        <v>359</v>
      </c>
      <c r="B122" s="9" t="s">
        <v>236</v>
      </c>
      <c r="C122" s="9" t="s">
        <v>239</v>
      </c>
      <c r="D122" s="9" t="n">
        <v>2040</v>
      </c>
      <c r="E122" s="9" t="s">
        <v>200</v>
      </c>
      <c r="F122" s="9" t="n">
        <v>500</v>
      </c>
      <c r="G122" s="9" t="n">
        <v>500</v>
      </c>
      <c r="H122" s="9" t="n">
        <v>54.58</v>
      </c>
    </row>
    <row r="123" customFormat="false" ht="14.25" hidden="true" customHeight="false" outlineLevel="0" collapsed="false">
      <c r="A123" s="9" t="s">
        <v>360</v>
      </c>
      <c r="B123" s="9" t="s">
        <v>236</v>
      </c>
      <c r="C123" s="9" t="s">
        <v>239</v>
      </c>
      <c r="D123" s="9" t="n">
        <v>2040</v>
      </c>
      <c r="E123" s="9" t="s">
        <v>200</v>
      </c>
      <c r="F123" s="9" t="n">
        <v>500</v>
      </c>
      <c r="G123" s="9" t="n">
        <v>500</v>
      </c>
      <c r="H123" s="9" t="n">
        <v>62.48</v>
      </c>
    </row>
    <row r="124" customFormat="false" ht="14.25" hidden="true" customHeight="false" outlineLevel="0" collapsed="false">
      <c r="A124" s="9" t="s">
        <v>361</v>
      </c>
      <c r="B124" s="9" t="s">
        <v>217</v>
      </c>
      <c r="C124" s="9" t="s">
        <v>258</v>
      </c>
      <c r="D124" s="9" t="n">
        <v>2040</v>
      </c>
      <c r="E124" s="9" t="s">
        <v>200</v>
      </c>
      <c r="F124" s="9" t="n">
        <v>500</v>
      </c>
      <c r="G124" s="9" t="n">
        <v>500</v>
      </c>
      <c r="H124" s="9" t="n">
        <v>221</v>
      </c>
    </row>
    <row r="125" customFormat="false" ht="14.25" hidden="true" customHeight="false" outlineLevel="0" collapsed="false">
      <c r="A125" s="9" t="s">
        <v>362</v>
      </c>
      <c r="B125" s="9" t="s">
        <v>217</v>
      </c>
      <c r="C125" s="9" t="s">
        <v>258</v>
      </c>
      <c r="D125" s="9" t="n">
        <v>2040</v>
      </c>
      <c r="E125" s="9" t="s">
        <v>200</v>
      </c>
      <c r="F125" s="9" t="n">
        <v>500</v>
      </c>
      <c r="G125" s="9" t="n">
        <v>500</v>
      </c>
      <c r="H125" s="9" t="n">
        <v>225</v>
      </c>
    </row>
    <row r="126" customFormat="false" ht="14.25" hidden="true" customHeight="false" outlineLevel="0" collapsed="false">
      <c r="A126" s="9" t="s">
        <v>363</v>
      </c>
      <c r="B126" s="9" t="s">
        <v>217</v>
      </c>
      <c r="C126" s="9" t="s">
        <v>266</v>
      </c>
      <c r="D126" s="9" t="n">
        <v>2040</v>
      </c>
      <c r="E126" s="9" t="s">
        <v>200</v>
      </c>
      <c r="F126" s="9" t="n">
        <v>500</v>
      </c>
      <c r="G126" s="9" t="n">
        <v>500</v>
      </c>
      <c r="H126" s="9" t="n">
        <v>221</v>
      </c>
    </row>
    <row r="127" customFormat="false" ht="14.25" hidden="true" customHeight="false" outlineLevel="0" collapsed="false">
      <c r="A127" s="9" t="s">
        <v>364</v>
      </c>
      <c r="B127" s="9" t="s">
        <v>217</v>
      </c>
      <c r="C127" s="9" t="s">
        <v>266</v>
      </c>
      <c r="D127" s="9" t="n">
        <v>2040</v>
      </c>
      <c r="E127" s="9" t="s">
        <v>200</v>
      </c>
      <c r="F127" s="9" t="n">
        <v>500</v>
      </c>
      <c r="G127" s="9" t="n">
        <v>500</v>
      </c>
      <c r="H127" s="9" t="n">
        <v>219</v>
      </c>
    </row>
    <row r="128" customFormat="false" ht="14.25" hidden="true" customHeight="false" outlineLevel="0" collapsed="false">
      <c r="A128" s="9" t="s">
        <v>365</v>
      </c>
      <c r="B128" s="9" t="s">
        <v>217</v>
      </c>
      <c r="C128" s="9" t="s">
        <v>239</v>
      </c>
      <c r="D128" s="9" t="n">
        <v>2040</v>
      </c>
      <c r="E128" s="9" t="s">
        <v>200</v>
      </c>
      <c r="F128" s="9" t="n">
        <v>500</v>
      </c>
      <c r="G128" s="9" t="n">
        <v>500</v>
      </c>
      <c r="H128" s="9" t="n">
        <v>283.44</v>
      </c>
    </row>
    <row r="129" customFormat="false" ht="14.25" hidden="true" customHeight="false" outlineLevel="0" collapsed="false">
      <c r="A129" s="9" t="s">
        <v>366</v>
      </c>
      <c r="B129" s="9" t="s">
        <v>217</v>
      </c>
      <c r="C129" s="9" t="s">
        <v>239</v>
      </c>
      <c r="D129" s="9" t="n">
        <v>2040</v>
      </c>
      <c r="E129" s="9" t="s">
        <v>200</v>
      </c>
      <c r="F129" s="9" t="n">
        <v>500</v>
      </c>
      <c r="G129" s="9" t="n">
        <v>500</v>
      </c>
      <c r="H129" s="9" t="n">
        <v>283.44</v>
      </c>
    </row>
    <row r="130" customFormat="false" ht="14.25" hidden="true" customHeight="false" outlineLevel="0" collapsed="false">
      <c r="A130" s="9" t="s">
        <v>367</v>
      </c>
      <c r="B130" s="9" t="s">
        <v>217</v>
      </c>
      <c r="C130" s="9" t="s">
        <v>261</v>
      </c>
      <c r="D130" s="9" t="n">
        <v>2040</v>
      </c>
      <c r="E130" s="9" t="s">
        <v>200</v>
      </c>
      <c r="F130" s="9" t="n">
        <v>500</v>
      </c>
      <c r="G130" s="9" t="n">
        <v>500</v>
      </c>
      <c r="H130" s="9" t="n">
        <v>110.8</v>
      </c>
    </row>
    <row r="131" customFormat="false" ht="14.25" hidden="true" customHeight="false" outlineLevel="0" collapsed="false">
      <c r="A131" s="9" t="s">
        <v>368</v>
      </c>
      <c r="B131" s="9" t="s">
        <v>217</v>
      </c>
      <c r="C131" s="9" t="s">
        <v>261</v>
      </c>
      <c r="D131" s="9" t="n">
        <v>2040</v>
      </c>
      <c r="E131" s="9" t="s">
        <v>200</v>
      </c>
      <c r="F131" s="9" t="n">
        <v>500</v>
      </c>
      <c r="G131" s="9" t="n">
        <v>500</v>
      </c>
      <c r="H131" s="9" t="n">
        <v>181</v>
      </c>
    </row>
    <row r="132" customFormat="false" ht="14.25" hidden="true" customHeight="false" outlineLevel="0" collapsed="false">
      <c r="A132" s="9" t="s">
        <v>369</v>
      </c>
      <c r="B132" s="9" t="s">
        <v>241</v>
      </c>
      <c r="C132" s="9" t="s">
        <v>206</v>
      </c>
      <c r="D132" s="9" t="n">
        <v>2040</v>
      </c>
      <c r="E132" s="9" t="s">
        <v>200</v>
      </c>
      <c r="F132" s="9" t="n">
        <v>500</v>
      </c>
      <c r="G132" s="9" t="n">
        <v>500</v>
      </c>
      <c r="H132" s="9" t="n">
        <v>1550</v>
      </c>
    </row>
    <row r="133" customFormat="false" ht="14.25" hidden="true" customHeight="false" outlineLevel="0" collapsed="false">
      <c r="A133" s="9" t="s">
        <v>370</v>
      </c>
      <c r="B133" s="9" t="s">
        <v>241</v>
      </c>
      <c r="C133" s="9" t="s">
        <v>206</v>
      </c>
      <c r="D133" s="9" t="n">
        <v>2040</v>
      </c>
      <c r="E133" s="9" t="s">
        <v>200</v>
      </c>
      <c r="F133" s="9" t="n">
        <v>500</v>
      </c>
      <c r="G133" s="9" t="n">
        <v>500</v>
      </c>
      <c r="H133" s="9" t="n">
        <v>3243</v>
      </c>
    </row>
    <row r="134" customFormat="false" ht="14.25" hidden="true" customHeight="false" outlineLevel="0" collapsed="false">
      <c r="A134" s="9" t="s">
        <v>371</v>
      </c>
      <c r="B134" s="9" t="s">
        <v>241</v>
      </c>
      <c r="C134" s="9" t="s">
        <v>206</v>
      </c>
      <c r="D134" s="9" t="n">
        <v>2040</v>
      </c>
      <c r="E134" s="9" t="s">
        <v>200</v>
      </c>
      <c r="F134" s="9" t="n">
        <v>500</v>
      </c>
      <c r="G134" s="9" t="n">
        <v>500</v>
      </c>
      <c r="H134" s="9" t="n">
        <v>3244</v>
      </c>
    </row>
    <row r="135" customFormat="false" ht="14.25" hidden="true" customHeight="false" outlineLevel="0" collapsed="false">
      <c r="A135" s="9" t="s">
        <v>372</v>
      </c>
      <c r="B135" s="9" t="s">
        <v>241</v>
      </c>
      <c r="C135" s="9" t="s">
        <v>206</v>
      </c>
      <c r="D135" s="9" t="n">
        <v>2040</v>
      </c>
      <c r="E135" s="9" t="s">
        <v>200</v>
      </c>
      <c r="F135" s="9" t="n">
        <v>500</v>
      </c>
      <c r="G135" s="9" t="n">
        <v>500</v>
      </c>
      <c r="H135" s="9" t="n">
        <v>3245</v>
      </c>
    </row>
    <row r="136" customFormat="false" ht="14.25" hidden="true" customHeight="false" outlineLevel="0" collapsed="false">
      <c r="A136" s="9" t="s">
        <v>373</v>
      </c>
      <c r="B136" s="9" t="s">
        <v>241</v>
      </c>
      <c r="C136" s="9" t="s">
        <v>374</v>
      </c>
      <c r="D136" s="9" t="n">
        <v>2040</v>
      </c>
      <c r="E136" s="9" t="s">
        <v>200</v>
      </c>
      <c r="F136" s="9" t="n">
        <v>1000</v>
      </c>
      <c r="G136" s="9" t="n">
        <v>1000</v>
      </c>
      <c r="H136" s="9" t="n">
        <v>779</v>
      </c>
    </row>
    <row r="137" customFormat="false" ht="14.25" hidden="true" customHeight="false" outlineLevel="0" collapsed="false">
      <c r="A137" s="9" t="s">
        <v>375</v>
      </c>
      <c r="B137" s="9" t="s">
        <v>241</v>
      </c>
      <c r="C137" s="9" t="s">
        <v>374</v>
      </c>
      <c r="D137" s="9" t="n">
        <v>2040</v>
      </c>
      <c r="E137" s="9" t="s">
        <v>200</v>
      </c>
      <c r="F137" s="9" t="n">
        <v>1000</v>
      </c>
      <c r="G137" s="9" t="n">
        <v>1000</v>
      </c>
      <c r="H137" s="9" t="n">
        <v>10000</v>
      </c>
    </row>
    <row r="138" customFormat="false" ht="14.25" hidden="true" customHeight="false" outlineLevel="0" collapsed="false">
      <c r="A138" s="9" t="s">
        <v>376</v>
      </c>
      <c r="B138" s="9" t="s">
        <v>241</v>
      </c>
      <c r="C138" s="9" t="s">
        <v>242</v>
      </c>
      <c r="D138" s="9" t="n">
        <v>2040</v>
      </c>
      <c r="E138" s="9" t="s">
        <v>200</v>
      </c>
      <c r="F138" s="9" t="n">
        <v>500</v>
      </c>
      <c r="G138" s="9" t="n">
        <v>500</v>
      </c>
      <c r="H138" s="9" t="n">
        <v>345.3</v>
      </c>
    </row>
    <row r="139" customFormat="false" ht="14.25" hidden="true" customHeight="false" outlineLevel="0" collapsed="false">
      <c r="A139" s="9" t="s">
        <v>377</v>
      </c>
      <c r="B139" s="9" t="s">
        <v>241</v>
      </c>
      <c r="C139" s="9" t="s">
        <v>242</v>
      </c>
      <c r="D139" s="9" t="n">
        <v>2040</v>
      </c>
      <c r="E139" s="9" t="s">
        <v>200</v>
      </c>
      <c r="F139" s="9" t="n">
        <v>500</v>
      </c>
      <c r="G139" s="9" t="n">
        <v>500</v>
      </c>
      <c r="H139" s="9" t="n">
        <v>396.24</v>
      </c>
    </row>
    <row r="140" customFormat="false" ht="14.25" hidden="false" customHeight="false" outlineLevel="0" collapsed="false">
      <c r="A140" s="9" t="s">
        <v>378</v>
      </c>
      <c r="B140" s="9" t="s">
        <v>206</v>
      </c>
      <c r="C140" s="9" t="s">
        <v>379</v>
      </c>
      <c r="D140" s="9" t="n">
        <v>2030</v>
      </c>
      <c r="E140" s="9" t="s">
        <v>200</v>
      </c>
      <c r="F140" s="9" t="n">
        <v>500</v>
      </c>
      <c r="G140" s="9" t="n">
        <v>500</v>
      </c>
      <c r="H140" s="9" t="n">
        <v>383.3</v>
      </c>
    </row>
    <row r="141" customFormat="false" ht="14.25" hidden="false" customHeight="false" outlineLevel="0" collapsed="false">
      <c r="A141" s="9" t="s">
        <v>380</v>
      </c>
      <c r="B141" s="9" t="s">
        <v>206</v>
      </c>
      <c r="C141" s="9" t="s">
        <v>379</v>
      </c>
      <c r="D141" s="9" t="n">
        <v>2030</v>
      </c>
      <c r="E141" s="9" t="s">
        <v>200</v>
      </c>
      <c r="F141" s="9" t="n">
        <v>500</v>
      </c>
      <c r="G141" s="9" t="n">
        <v>500</v>
      </c>
      <c r="H141" s="9" t="n">
        <v>384.3</v>
      </c>
    </row>
    <row r="142" customFormat="false" ht="14.25" hidden="true" customHeight="false" outlineLevel="0" collapsed="false">
      <c r="A142" s="9" t="s">
        <v>381</v>
      </c>
      <c r="B142" s="9" t="s">
        <v>206</v>
      </c>
      <c r="C142" s="9" t="s">
        <v>379</v>
      </c>
      <c r="D142" s="9" t="n">
        <v>2040</v>
      </c>
      <c r="E142" s="9" t="s">
        <v>200</v>
      </c>
      <c r="F142" s="9" t="n">
        <v>500</v>
      </c>
      <c r="G142" s="9" t="n">
        <v>500</v>
      </c>
      <c r="H142" s="9" t="n">
        <v>385.3</v>
      </c>
    </row>
    <row r="143" customFormat="false" ht="14.25" hidden="true" customHeight="false" outlineLevel="0" collapsed="false">
      <c r="A143" s="9" t="s">
        <v>382</v>
      </c>
      <c r="B143" s="9" t="s">
        <v>206</v>
      </c>
      <c r="C143" s="9" t="s">
        <v>379</v>
      </c>
      <c r="D143" s="9" t="n">
        <v>2040</v>
      </c>
      <c r="E143" s="9" t="s">
        <v>200</v>
      </c>
      <c r="F143" s="9" t="n">
        <v>500</v>
      </c>
      <c r="G143" s="9" t="n">
        <v>500</v>
      </c>
      <c r="H143" s="9" t="n">
        <v>386.3</v>
      </c>
    </row>
    <row r="144" customFormat="false" ht="14.25" hidden="true" customHeight="false" outlineLevel="0" collapsed="false">
      <c r="A144" s="9" t="s">
        <v>383</v>
      </c>
      <c r="B144" s="9" t="s">
        <v>206</v>
      </c>
      <c r="C144" s="9" t="s">
        <v>379</v>
      </c>
      <c r="D144" s="9" t="n">
        <v>2040</v>
      </c>
      <c r="E144" s="9" t="s">
        <v>200</v>
      </c>
      <c r="F144" s="9" t="n">
        <v>500</v>
      </c>
      <c r="G144" s="9" t="n">
        <v>500</v>
      </c>
      <c r="H144" s="9" t="n">
        <v>387.3</v>
      </c>
    </row>
    <row r="145" customFormat="false" ht="14.25" hidden="true" customHeight="false" outlineLevel="0" collapsed="false">
      <c r="A145" s="9" t="s">
        <v>384</v>
      </c>
      <c r="B145" s="9" t="s">
        <v>206</v>
      </c>
      <c r="C145" s="9" t="s">
        <v>379</v>
      </c>
      <c r="D145" s="9" t="n">
        <v>2040</v>
      </c>
      <c r="E145" s="9" t="s">
        <v>200</v>
      </c>
      <c r="F145" s="9" t="n">
        <v>500</v>
      </c>
      <c r="G145" s="9" t="n">
        <v>500</v>
      </c>
      <c r="H145" s="9" t="n">
        <v>388.3</v>
      </c>
    </row>
    <row r="146" customFormat="false" ht="14.25" hidden="true" customHeight="false" outlineLevel="0" collapsed="false">
      <c r="A146" s="9" t="s">
        <v>385</v>
      </c>
      <c r="B146" s="9" t="s">
        <v>206</v>
      </c>
      <c r="C146" s="9" t="s">
        <v>226</v>
      </c>
      <c r="D146" s="9" t="n">
        <v>2040</v>
      </c>
      <c r="E146" s="9" t="s">
        <v>200</v>
      </c>
      <c r="F146" s="9" t="n">
        <v>2000</v>
      </c>
      <c r="G146" s="9" t="n">
        <v>2000</v>
      </c>
      <c r="H146" s="9" t="n">
        <v>4800</v>
      </c>
    </row>
    <row r="147" customFormat="false" ht="14.25" hidden="true" customHeight="false" outlineLevel="0" collapsed="false">
      <c r="A147" s="9" t="s">
        <v>386</v>
      </c>
      <c r="B147" s="9" t="s">
        <v>206</v>
      </c>
      <c r="C147" s="9" t="s">
        <v>329</v>
      </c>
      <c r="D147" s="9" t="n">
        <v>2040</v>
      </c>
      <c r="E147" s="9" t="s">
        <v>200</v>
      </c>
      <c r="F147" s="9" t="n">
        <v>1000</v>
      </c>
      <c r="G147" s="9" t="n">
        <v>1000</v>
      </c>
      <c r="H147" s="9" t="n">
        <v>4000</v>
      </c>
    </row>
    <row r="148" customFormat="false" ht="14.25" hidden="true" customHeight="false" outlineLevel="0" collapsed="false">
      <c r="A148" s="9" t="s">
        <v>387</v>
      </c>
      <c r="B148" s="9" t="s">
        <v>206</v>
      </c>
      <c r="C148" s="9" t="s">
        <v>329</v>
      </c>
      <c r="D148" s="9" t="n">
        <v>2040</v>
      </c>
      <c r="E148" s="9" t="s">
        <v>200</v>
      </c>
      <c r="F148" s="9" t="n">
        <v>1000</v>
      </c>
      <c r="G148" s="9" t="n">
        <v>1000</v>
      </c>
      <c r="H148" s="9" t="n">
        <v>4000</v>
      </c>
    </row>
    <row r="149" customFormat="false" ht="14.25" hidden="true" customHeight="false" outlineLevel="0" collapsed="false">
      <c r="A149" s="9" t="s">
        <v>388</v>
      </c>
      <c r="B149" s="9" t="s">
        <v>206</v>
      </c>
      <c r="C149" s="9" t="s">
        <v>374</v>
      </c>
      <c r="D149" s="9" t="n">
        <v>2040</v>
      </c>
      <c r="E149" s="9" t="s">
        <v>200</v>
      </c>
      <c r="F149" s="9" t="n">
        <v>2000</v>
      </c>
      <c r="G149" s="9" t="n">
        <v>2000</v>
      </c>
      <c r="H149" s="9" t="n">
        <v>1080</v>
      </c>
    </row>
    <row r="150" customFormat="false" ht="14.25" hidden="true" customHeight="false" outlineLevel="0" collapsed="false">
      <c r="A150" s="9" t="s">
        <v>389</v>
      </c>
      <c r="B150" s="9" t="s">
        <v>206</v>
      </c>
      <c r="C150" s="9" t="s">
        <v>374</v>
      </c>
      <c r="D150" s="9" t="n">
        <v>2040</v>
      </c>
      <c r="E150" s="9" t="s">
        <v>200</v>
      </c>
      <c r="F150" s="9" t="n">
        <v>2000</v>
      </c>
      <c r="G150" s="9" t="n">
        <v>2000</v>
      </c>
      <c r="H150" s="9" t="n">
        <v>10000</v>
      </c>
    </row>
    <row r="151" customFormat="false" ht="14.25" hidden="true" customHeight="false" outlineLevel="0" collapsed="false">
      <c r="A151" s="9" t="s">
        <v>390</v>
      </c>
      <c r="B151" s="9" t="s">
        <v>206</v>
      </c>
      <c r="C151" s="9" t="s">
        <v>244</v>
      </c>
      <c r="D151" s="9" t="n">
        <v>2040</v>
      </c>
      <c r="E151" s="9" t="s">
        <v>200</v>
      </c>
      <c r="F151" s="9" t="n">
        <v>500</v>
      </c>
      <c r="G151" s="9" t="n">
        <v>500</v>
      </c>
      <c r="H151" s="9" t="n">
        <v>478.6</v>
      </c>
    </row>
    <row r="152" customFormat="false" ht="14.25" hidden="true" customHeight="false" outlineLevel="0" collapsed="false">
      <c r="A152" s="9" t="s">
        <v>391</v>
      </c>
      <c r="B152" s="9" t="s">
        <v>206</v>
      </c>
      <c r="C152" s="9" t="s">
        <v>244</v>
      </c>
      <c r="D152" s="9" t="n">
        <v>2040</v>
      </c>
      <c r="E152" s="9" t="s">
        <v>200</v>
      </c>
      <c r="F152" s="9" t="n">
        <v>500</v>
      </c>
      <c r="G152" s="9" t="n">
        <v>500</v>
      </c>
      <c r="H152" s="9" t="n">
        <v>479.6</v>
      </c>
    </row>
    <row r="153" customFormat="false" ht="14.25" hidden="true" customHeight="false" outlineLevel="0" collapsed="false">
      <c r="A153" s="9" t="s">
        <v>392</v>
      </c>
      <c r="B153" s="9" t="s">
        <v>206</v>
      </c>
      <c r="C153" s="9" t="s">
        <v>244</v>
      </c>
      <c r="D153" s="9" t="n">
        <v>2040</v>
      </c>
      <c r="E153" s="9" t="s">
        <v>200</v>
      </c>
      <c r="F153" s="9" t="n">
        <v>500</v>
      </c>
      <c r="G153" s="9" t="n">
        <v>500</v>
      </c>
      <c r="H153" s="9" t="n">
        <v>480.6</v>
      </c>
    </row>
    <row r="154" customFormat="false" ht="14.25" hidden="true" customHeight="false" outlineLevel="0" collapsed="false">
      <c r="A154" s="9" t="s">
        <v>393</v>
      </c>
      <c r="B154" s="9" t="s">
        <v>206</v>
      </c>
      <c r="C154" s="9" t="s">
        <v>244</v>
      </c>
      <c r="D154" s="9" t="n">
        <v>2040</v>
      </c>
      <c r="E154" s="9" t="s">
        <v>200</v>
      </c>
      <c r="F154" s="9" t="n">
        <v>500</v>
      </c>
      <c r="G154" s="9" t="n">
        <v>500</v>
      </c>
      <c r="H154" s="9" t="n">
        <v>481.6</v>
      </c>
    </row>
    <row r="155" customFormat="false" ht="14.25" hidden="true" customHeight="false" outlineLevel="0" collapsed="false">
      <c r="A155" s="9" t="s">
        <v>394</v>
      </c>
      <c r="B155" s="9" t="s">
        <v>206</v>
      </c>
      <c r="C155" s="9" t="s">
        <v>244</v>
      </c>
      <c r="D155" s="9" t="n">
        <v>2040</v>
      </c>
      <c r="E155" s="9" t="s">
        <v>200</v>
      </c>
      <c r="F155" s="9" t="n">
        <v>500</v>
      </c>
      <c r="G155" s="9" t="n">
        <v>500</v>
      </c>
      <c r="H155" s="9" t="n">
        <v>482.6</v>
      </c>
    </row>
    <row r="156" customFormat="false" ht="14.25" hidden="true" customHeight="false" outlineLevel="0" collapsed="false">
      <c r="A156" s="9" t="s">
        <v>395</v>
      </c>
      <c r="B156" s="9" t="s">
        <v>206</v>
      </c>
      <c r="C156" s="9" t="s">
        <v>244</v>
      </c>
      <c r="D156" s="9" t="n">
        <v>2040</v>
      </c>
      <c r="E156" s="9" t="s">
        <v>200</v>
      </c>
      <c r="F156" s="9" t="n">
        <v>500</v>
      </c>
      <c r="G156" s="9" t="n">
        <v>500</v>
      </c>
      <c r="H156" s="9" t="n">
        <v>483.6</v>
      </c>
    </row>
    <row r="157" customFormat="false" ht="14.25" hidden="true" customHeight="false" outlineLevel="0" collapsed="false">
      <c r="A157" s="9" t="s">
        <v>396</v>
      </c>
      <c r="B157" s="9" t="s">
        <v>241</v>
      </c>
      <c r="C157" s="9" t="s">
        <v>206</v>
      </c>
      <c r="D157" s="9" t="n">
        <v>2040</v>
      </c>
      <c r="E157" s="9" t="s">
        <v>200</v>
      </c>
      <c r="F157" s="9" t="n">
        <v>500</v>
      </c>
      <c r="G157" s="9" t="n">
        <v>500</v>
      </c>
      <c r="H157" s="9" t="n">
        <v>3246</v>
      </c>
    </row>
    <row r="158" customFormat="false" ht="14.25" hidden="true" customHeight="false" outlineLevel="0" collapsed="false">
      <c r="A158" s="9" t="s">
        <v>397</v>
      </c>
      <c r="B158" s="9" t="s">
        <v>241</v>
      </c>
      <c r="C158" s="9" t="s">
        <v>206</v>
      </c>
      <c r="D158" s="9" t="n">
        <v>2040</v>
      </c>
      <c r="E158" s="9" t="s">
        <v>200</v>
      </c>
      <c r="F158" s="9" t="n">
        <v>500</v>
      </c>
      <c r="G158" s="9" t="n">
        <v>500</v>
      </c>
      <c r="H158" s="9" t="n">
        <v>3247</v>
      </c>
    </row>
    <row r="159" customFormat="false" ht="14.25" hidden="true" customHeight="false" outlineLevel="0" collapsed="false">
      <c r="A159" s="9" t="s">
        <v>398</v>
      </c>
      <c r="B159" s="9" t="s">
        <v>379</v>
      </c>
      <c r="C159" s="9" t="s">
        <v>244</v>
      </c>
      <c r="D159" s="9" t="n">
        <v>2040</v>
      </c>
      <c r="E159" s="9" t="s">
        <v>200</v>
      </c>
      <c r="F159" s="9" t="n">
        <v>500</v>
      </c>
      <c r="G159" s="9" t="n">
        <v>500</v>
      </c>
      <c r="H159" s="9" t="n">
        <v>150</v>
      </c>
    </row>
    <row r="160" customFormat="false" ht="14.25" hidden="true" customHeight="false" outlineLevel="0" collapsed="false">
      <c r="A160" s="9" t="s">
        <v>399</v>
      </c>
      <c r="B160" s="9" t="s">
        <v>379</v>
      </c>
      <c r="C160" s="9" t="s">
        <v>244</v>
      </c>
      <c r="D160" s="9" t="n">
        <v>2040</v>
      </c>
      <c r="E160" s="9" t="s">
        <v>200</v>
      </c>
      <c r="F160" s="9" t="n">
        <v>500</v>
      </c>
      <c r="G160" s="9" t="n">
        <v>500</v>
      </c>
      <c r="H160" s="9" t="n">
        <v>150</v>
      </c>
    </row>
    <row r="161" customFormat="false" ht="14.25" hidden="false" customHeight="false" outlineLevel="0" collapsed="false">
      <c r="A161" s="9" t="s">
        <v>400</v>
      </c>
      <c r="B161" s="9" t="s">
        <v>379</v>
      </c>
      <c r="C161" s="9" t="s">
        <v>226</v>
      </c>
      <c r="D161" s="9" t="n">
        <v>2030</v>
      </c>
      <c r="E161" s="9" t="s">
        <v>200</v>
      </c>
      <c r="F161" s="9" t="n">
        <v>600</v>
      </c>
      <c r="G161" s="9" t="n">
        <v>600</v>
      </c>
      <c r="H161" s="9" t="n">
        <v>600</v>
      </c>
    </row>
    <row r="162" customFormat="false" ht="14.25" hidden="false" customHeight="false" outlineLevel="0" collapsed="false">
      <c r="A162" s="9" t="s">
        <v>401</v>
      </c>
      <c r="B162" s="9" t="s">
        <v>379</v>
      </c>
      <c r="C162" s="9" t="s">
        <v>244</v>
      </c>
      <c r="D162" s="9" t="n">
        <v>2030</v>
      </c>
      <c r="E162" s="9" t="s">
        <v>200</v>
      </c>
      <c r="F162" s="9" t="n">
        <v>500</v>
      </c>
      <c r="G162" s="9" t="n">
        <v>500</v>
      </c>
      <c r="H162" s="9" t="n">
        <v>150</v>
      </c>
    </row>
    <row r="163" customFormat="false" ht="14.25" hidden="true" customHeight="false" outlineLevel="0" collapsed="false">
      <c r="A163" s="9" t="s">
        <v>402</v>
      </c>
      <c r="B163" s="9" t="s">
        <v>379</v>
      </c>
      <c r="C163" s="9" t="s">
        <v>244</v>
      </c>
      <c r="D163" s="9" t="n">
        <v>2040</v>
      </c>
      <c r="E163" s="9" t="s">
        <v>200</v>
      </c>
      <c r="F163" s="9" t="n">
        <v>500</v>
      </c>
      <c r="G163" s="9" t="n">
        <v>500</v>
      </c>
      <c r="H163" s="9" t="n">
        <v>150</v>
      </c>
    </row>
    <row r="164" customFormat="false" ht="14.25" hidden="true" customHeight="false" outlineLevel="0" collapsed="false">
      <c r="A164" s="9" t="s">
        <v>403</v>
      </c>
      <c r="B164" s="9" t="s">
        <v>226</v>
      </c>
      <c r="C164" s="9" t="s">
        <v>329</v>
      </c>
      <c r="D164" s="9" t="n">
        <v>2040</v>
      </c>
      <c r="E164" s="9" t="s">
        <v>200</v>
      </c>
      <c r="F164" s="9" t="n">
        <v>1000</v>
      </c>
      <c r="G164" s="9" t="n">
        <v>1000</v>
      </c>
      <c r="H164" s="9" t="n">
        <v>1150</v>
      </c>
    </row>
    <row r="165" customFormat="false" ht="14.25" hidden="true" customHeight="false" outlineLevel="0" collapsed="false">
      <c r="A165" s="9" t="s">
        <v>404</v>
      </c>
      <c r="B165" s="9" t="s">
        <v>226</v>
      </c>
      <c r="C165" s="9" t="s">
        <v>329</v>
      </c>
      <c r="D165" s="9" t="n">
        <v>2040</v>
      </c>
      <c r="E165" s="9" t="s">
        <v>200</v>
      </c>
      <c r="F165" s="9" t="n">
        <v>1000</v>
      </c>
      <c r="G165" s="9" t="n">
        <v>1000</v>
      </c>
      <c r="H165" s="9" t="n">
        <v>850</v>
      </c>
    </row>
    <row r="166" customFormat="false" ht="14.25" hidden="false" customHeight="false" outlineLevel="0" collapsed="false">
      <c r="A166" s="9" t="s">
        <v>405</v>
      </c>
      <c r="B166" s="9" t="s">
        <v>226</v>
      </c>
      <c r="C166" s="9" t="s">
        <v>247</v>
      </c>
      <c r="D166" s="9" t="n">
        <v>2030</v>
      </c>
      <c r="E166" s="9" t="s">
        <v>200</v>
      </c>
      <c r="F166" s="9" t="n">
        <v>500</v>
      </c>
      <c r="G166" s="9" t="n">
        <v>500</v>
      </c>
      <c r="H166" s="9" t="n">
        <v>471</v>
      </c>
    </row>
    <row r="167" customFormat="false" ht="14.25" hidden="false" customHeight="false" outlineLevel="0" collapsed="false">
      <c r="A167" s="9" t="s">
        <v>406</v>
      </c>
      <c r="B167" s="9" t="s">
        <v>226</v>
      </c>
      <c r="C167" s="9" t="s">
        <v>247</v>
      </c>
      <c r="D167" s="9" t="n">
        <v>2030</v>
      </c>
      <c r="E167" s="9" t="s">
        <v>200</v>
      </c>
      <c r="F167" s="9" t="n">
        <v>500</v>
      </c>
      <c r="G167" s="9" t="n">
        <v>500</v>
      </c>
      <c r="H167" s="9" t="n">
        <v>472</v>
      </c>
    </row>
    <row r="168" customFormat="false" ht="14.25" hidden="true" customHeight="false" outlineLevel="0" collapsed="false">
      <c r="A168" s="9" t="s">
        <v>407</v>
      </c>
      <c r="B168" s="9" t="s">
        <v>226</v>
      </c>
      <c r="C168" s="9" t="s">
        <v>212</v>
      </c>
      <c r="D168" s="9" t="n">
        <v>2040</v>
      </c>
      <c r="E168" s="9" t="s">
        <v>200</v>
      </c>
      <c r="F168" s="9" t="n">
        <v>1000</v>
      </c>
      <c r="G168" s="9" t="n">
        <v>1000</v>
      </c>
      <c r="H168" s="9" t="n">
        <v>3250</v>
      </c>
    </row>
    <row r="169" customFormat="false" ht="14.25" hidden="true" customHeight="false" outlineLevel="0" collapsed="false">
      <c r="A169" s="9" t="s">
        <v>408</v>
      </c>
      <c r="B169" s="9" t="s">
        <v>226</v>
      </c>
      <c r="C169" s="9" t="s">
        <v>212</v>
      </c>
      <c r="D169" s="9" t="n">
        <v>2040</v>
      </c>
      <c r="E169" s="9" t="s">
        <v>200</v>
      </c>
      <c r="F169" s="9" t="n">
        <v>1000</v>
      </c>
      <c r="G169" s="9" t="n">
        <v>1000</v>
      </c>
      <c r="H169" s="9" t="n">
        <v>3850</v>
      </c>
    </row>
    <row r="170" customFormat="false" ht="14.25" hidden="false" customHeight="false" outlineLevel="0" collapsed="false">
      <c r="A170" s="9" t="s">
        <v>409</v>
      </c>
      <c r="B170" s="9" t="s">
        <v>226</v>
      </c>
      <c r="C170" s="9" t="s">
        <v>247</v>
      </c>
      <c r="D170" s="9" t="n">
        <v>2030</v>
      </c>
      <c r="E170" s="9" t="s">
        <v>200</v>
      </c>
      <c r="F170" s="9" t="n">
        <v>500</v>
      </c>
      <c r="G170" s="9" t="n">
        <v>500</v>
      </c>
      <c r="H170" s="9" t="n">
        <v>471.4</v>
      </c>
    </row>
    <row r="171" customFormat="false" ht="14.25" hidden="false" customHeight="false" outlineLevel="0" collapsed="false">
      <c r="A171" s="9" t="s">
        <v>410</v>
      </c>
      <c r="B171" s="9" t="s">
        <v>226</v>
      </c>
      <c r="C171" s="9" t="s">
        <v>247</v>
      </c>
      <c r="D171" s="9" t="n">
        <v>2030</v>
      </c>
      <c r="E171" s="9" t="s">
        <v>200</v>
      </c>
      <c r="F171" s="9" t="n">
        <v>500</v>
      </c>
      <c r="G171" s="9" t="n">
        <v>500</v>
      </c>
      <c r="H171" s="9" t="n">
        <v>471.4</v>
      </c>
    </row>
    <row r="172" customFormat="false" ht="14.25" hidden="false" customHeight="false" outlineLevel="0" collapsed="false">
      <c r="A172" s="9" t="s">
        <v>411</v>
      </c>
      <c r="B172" s="9" t="s">
        <v>226</v>
      </c>
      <c r="C172" s="9" t="s">
        <v>247</v>
      </c>
      <c r="D172" s="14" t="n">
        <v>2035</v>
      </c>
      <c r="E172" s="9" t="s">
        <v>200</v>
      </c>
      <c r="F172" s="9" t="n">
        <v>500</v>
      </c>
      <c r="G172" s="9" t="n">
        <v>500</v>
      </c>
      <c r="H172" s="9" t="n">
        <v>471.4</v>
      </c>
    </row>
    <row r="173" customFormat="false" ht="14.25" hidden="false" customHeight="false" outlineLevel="0" collapsed="false">
      <c r="A173" s="9" t="s">
        <v>412</v>
      </c>
      <c r="B173" s="9" t="s">
        <v>226</v>
      </c>
      <c r="C173" s="9" t="s">
        <v>247</v>
      </c>
      <c r="D173" s="14" t="n">
        <v>2035</v>
      </c>
      <c r="E173" s="9" t="s">
        <v>200</v>
      </c>
      <c r="F173" s="9" t="n">
        <v>500</v>
      </c>
      <c r="G173" s="9" t="n">
        <v>500</v>
      </c>
      <c r="H173" s="9" t="n">
        <v>471.4</v>
      </c>
    </row>
    <row r="174" customFormat="false" ht="14.25" hidden="false" customHeight="false" outlineLevel="0" collapsed="false">
      <c r="A174" s="9" t="s">
        <v>413</v>
      </c>
      <c r="B174" s="9" t="s">
        <v>249</v>
      </c>
      <c r="C174" s="9" t="s">
        <v>250</v>
      </c>
      <c r="D174" s="9" t="n">
        <v>2030</v>
      </c>
      <c r="E174" s="9" t="s">
        <v>200</v>
      </c>
      <c r="F174" s="9" t="n">
        <v>700</v>
      </c>
      <c r="G174" s="9" t="n">
        <v>700</v>
      </c>
      <c r="H174" s="9" t="n">
        <v>850</v>
      </c>
    </row>
    <row r="175" customFormat="false" ht="14.25" hidden="true" customHeight="false" outlineLevel="0" collapsed="false">
      <c r="A175" s="9" t="s">
        <v>414</v>
      </c>
      <c r="B175" s="9" t="s">
        <v>249</v>
      </c>
      <c r="C175" s="9" t="s">
        <v>250</v>
      </c>
      <c r="D175" s="9" t="n">
        <v>2040</v>
      </c>
      <c r="E175" s="9" t="s">
        <v>200</v>
      </c>
      <c r="F175" s="9" t="n">
        <v>700</v>
      </c>
      <c r="G175" s="9" t="n">
        <v>700</v>
      </c>
      <c r="H175" s="9" t="n">
        <v>900</v>
      </c>
    </row>
    <row r="176" customFormat="false" ht="14.25" hidden="false" customHeight="false" outlineLevel="0" collapsed="false">
      <c r="A176" s="9" t="s">
        <v>415</v>
      </c>
      <c r="B176" s="9" t="s">
        <v>249</v>
      </c>
      <c r="C176" s="9" t="s">
        <v>252</v>
      </c>
      <c r="D176" s="9" t="n">
        <v>2030</v>
      </c>
      <c r="E176" s="9" t="s">
        <v>200</v>
      </c>
      <c r="F176" s="9" t="n">
        <v>1000</v>
      </c>
      <c r="G176" s="9" t="n">
        <v>1000</v>
      </c>
      <c r="H176" s="9" t="n">
        <v>1150</v>
      </c>
    </row>
    <row r="177" customFormat="false" ht="14.25" hidden="true" customHeight="false" outlineLevel="0" collapsed="false">
      <c r="A177" s="9" t="s">
        <v>416</v>
      </c>
      <c r="B177" s="9" t="s">
        <v>249</v>
      </c>
      <c r="C177" s="9" t="s">
        <v>252</v>
      </c>
      <c r="D177" s="9" t="n">
        <v>2040</v>
      </c>
      <c r="E177" s="9" t="s">
        <v>200</v>
      </c>
      <c r="F177" s="9" t="n">
        <v>1000</v>
      </c>
      <c r="G177" s="9" t="n">
        <v>1000</v>
      </c>
      <c r="H177" s="9" t="n">
        <v>1200</v>
      </c>
    </row>
    <row r="178" customFormat="false" ht="14.25" hidden="true" customHeight="false" outlineLevel="0" collapsed="false">
      <c r="A178" s="9" t="s">
        <v>417</v>
      </c>
      <c r="B178" s="9" t="s">
        <v>250</v>
      </c>
      <c r="C178" s="9" t="s">
        <v>418</v>
      </c>
      <c r="D178" s="9" t="n">
        <v>2040</v>
      </c>
      <c r="E178" s="9" t="s">
        <v>200</v>
      </c>
      <c r="F178" s="9" t="n">
        <v>500</v>
      </c>
      <c r="G178" s="9" t="n">
        <v>500</v>
      </c>
      <c r="H178" s="9" t="n">
        <v>1000</v>
      </c>
    </row>
    <row r="179" customFormat="false" ht="14.25" hidden="false" customHeight="false" outlineLevel="0" collapsed="false">
      <c r="A179" s="9" t="s">
        <v>419</v>
      </c>
      <c r="B179" s="9" t="s">
        <v>250</v>
      </c>
      <c r="C179" s="9" t="s">
        <v>254</v>
      </c>
      <c r="D179" s="9" t="n">
        <v>2030</v>
      </c>
      <c r="E179" s="9" t="s">
        <v>200</v>
      </c>
      <c r="F179" s="9" t="n">
        <v>800</v>
      </c>
      <c r="G179" s="9" t="n">
        <v>800</v>
      </c>
      <c r="H179" s="9" t="n">
        <v>300</v>
      </c>
    </row>
    <row r="180" customFormat="false" ht="14.25" hidden="true" customHeight="false" outlineLevel="0" collapsed="false">
      <c r="A180" s="9" t="s">
        <v>420</v>
      </c>
      <c r="B180" s="9" t="s">
        <v>250</v>
      </c>
      <c r="C180" s="9" t="s">
        <v>254</v>
      </c>
      <c r="D180" s="9" t="n">
        <v>2040</v>
      </c>
      <c r="E180" s="9" t="s">
        <v>200</v>
      </c>
      <c r="F180" s="9" t="n">
        <v>800</v>
      </c>
      <c r="G180" s="9" t="n">
        <v>800</v>
      </c>
      <c r="H180" s="9" t="n">
        <v>300</v>
      </c>
    </row>
    <row r="181" customFormat="false" ht="14.25" hidden="false" customHeight="false" outlineLevel="0" collapsed="false">
      <c r="A181" s="9" t="s">
        <v>421</v>
      </c>
      <c r="B181" s="9" t="s">
        <v>250</v>
      </c>
      <c r="C181" s="9" t="s">
        <v>275</v>
      </c>
      <c r="D181" s="9" t="n">
        <v>2030</v>
      </c>
      <c r="E181" s="9" t="s">
        <v>200</v>
      </c>
      <c r="F181" s="9" t="n">
        <v>500</v>
      </c>
      <c r="G181" s="9" t="n">
        <v>500</v>
      </c>
      <c r="H181" s="9" t="n">
        <v>450</v>
      </c>
    </row>
    <row r="182" customFormat="false" ht="14.25" hidden="true" customHeight="false" outlineLevel="0" collapsed="false">
      <c r="A182" s="9" t="s">
        <v>422</v>
      </c>
      <c r="B182" s="9" t="s">
        <v>250</v>
      </c>
      <c r="C182" s="9" t="s">
        <v>275</v>
      </c>
      <c r="D182" s="9" t="n">
        <v>2040</v>
      </c>
      <c r="E182" s="9" t="s">
        <v>200</v>
      </c>
      <c r="F182" s="9" t="n">
        <v>500</v>
      </c>
      <c r="G182" s="9" t="n">
        <v>500</v>
      </c>
      <c r="H182" s="9" t="n">
        <v>450</v>
      </c>
    </row>
    <row r="183" customFormat="false" ht="14.25" hidden="false" customHeight="false" outlineLevel="0" collapsed="false">
      <c r="A183" s="9" t="s">
        <v>423</v>
      </c>
      <c r="B183" s="9" t="s">
        <v>250</v>
      </c>
      <c r="C183" s="9" t="s">
        <v>247</v>
      </c>
      <c r="D183" s="9" t="n">
        <v>2030</v>
      </c>
      <c r="E183" s="9" t="s">
        <v>200</v>
      </c>
      <c r="F183" s="9" t="n">
        <v>500</v>
      </c>
      <c r="G183" s="9" t="n">
        <v>500</v>
      </c>
      <c r="H183" s="9" t="n">
        <v>450</v>
      </c>
    </row>
    <row r="184" customFormat="false" ht="14.25" hidden="true" customHeight="false" outlineLevel="0" collapsed="false">
      <c r="A184" s="9" t="s">
        <v>424</v>
      </c>
      <c r="B184" s="9" t="s">
        <v>250</v>
      </c>
      <c r="C184" s="9" t="s">
        <v>247</v>
      </c>
      <c r="D184" s="9" t="n">
        <v>2040</v>
      </c>
      <c r="E184" s="9" t="s">
        <v>200</v>
      </c>
      <c r="F184" s="9" t="n">
        <v>500</v>
      </c>
      <c r="G184" s="9" t="n">
        <v>500</v>
      </c>
      <c r="H184" s="9" t="n">
        <v>450</v>
      </c>
    </row>
    <row r="185" customFormat="false" ht="14.25" hidden="true" customHeight="false" outlineLevel="0" collapsed="false">
      <c r="A185" s="9" t="s">
        <v>425</v>
      </c>
      <c r="B185" s="9" t="s">
        <v>250</v>
      </c>
      <c r="C185" s="9" t="s">
        <v>418</v>
      </c>
      <c r="D185" s="9" t="n">
        <v>2040</v>
      </c>
      <c r="E185" s="9" t="s">
        <v>200</v>
      </c>
      <c r="F185" s="9" t="n">
        <v>500</v>
      </c>
      <c r="G185" s="9" t="n">
        <v>500</v>
      </c>
      <c r="H185" s="9" t="n">
        <v>1000</v>
      </c>
    </row>
    <row r="186" customFormat="false" ht="14.25" hidden="true" customHeight="false" outlineLevel="0" collapsed="false">
      <c r="A186" s="9" t="s">
        <v>426</v>
      </c>
      <c r="B186" s="9" t="s">
        <v>250</v>
      </c>
      <c r="C186" s="9" t="s">
        <v>254</v>
      </c>
      <c r="D186" s="9" t="n">
        <v>2040</v>
      </c>
      <c r="E186" s="9" t="s">
        <v>200</v>
      </c>
      <c r="F186" s="9" t="n">
        <v>800</v>
      </c>
      <c r="G186" s="9" t="n">
        <v>800</v>
      </c>
      <c r="H186" s="9" t="n">
        <v>300</v>
      </c>
    </row>
    <row r="187" customFormat="false" ht="14.25" hidden="true" customHeight="false" outlineLevel="0" collapsed="false">
      <c r="A187" s="9" t="s">
        <v>427</v>
      </c>
      <c r="B187" s="9" t="s">
        <v>250</v>
      </c>
      <c r="C187" s="9" t="s">
        <v>275</v>
      </c>
      <c r="D187" s="9" t="n">
        <v>2040</v>
      </c>
      <c r="E187" s="9" t="s">
        <v>200</v>
      </c>
      <c r="F187" s="9" t="n">
        <v>500</v>
      </c>
      <c r="G187" s="9" t="n">
        <v>500</v>
      </c>
      <c r="H187" s="9" t="n">
        <v>450</v>
      </c>
    </row>
    <row r="188" customFormat="false" ht="14.25" hidden="true" customHeight="false" outlineLevel="0" collapsed="false">
      <c r="A188" s="9" t="s">
        <v>428</v>
      </c>
      <c r="B188" s="9" t="s">
        <v>250</v>
      </c>
      <c r="C188" s="9" t="s">
        <v>275</v>
      </c>
      <c r="D188" s="9" t="n">
        <v>2040</v>
      </c>
      <c r="E188" s="9" t="s">
        <v>200</v>
      </c>
      <c r="F188" s="9" t="n">
        <v>500</v>
      </c>
      <c r="G188" s="9" t="n">
        <v>500</v>
      </c>
      <c r="H188" s="9" t="n">
        <v>450</v>
      </c>
    </row>
    <row r="189" customFormat="false" ht="14.25" hidden="true" customHeight="false" outlineLevel="0" collapsed="false">
      <c r="A189" s="9" t="s">
        <v>429</v>
      </c>
      <c r="B189" s="9" t="s">
        <v>250</v>
      </c>
      <c r="C189" s="9" t="s">
        <v>247</v>
      </c>
      <c r="D189" s="9" t="n">
        <v>2040</v>
      </c>
      <c r="E189" s="9" t="s">
        <v>200</v>
      </c>
      <c r="F189" s="9" t="n">
        <v>500</v>
      </c>
      <c r="G189" s="9" t="n">
        <v>500</v>
      </c>
      <c r="H189" s="9" t="n">
        <v>450</v>
      </c>
    </row>
    <row r="190" customFormat="false" ht="14.25" hidden="true" customHeight="false" outlineLevel="0" collapsed="false">
      <c r="A190" s="9" t="s">
        <v>430</v>
      </c>
      <c r="B190" s="9" t="s">
        <v>250</v>
      </c>
      <c r="C190" s="9" t="s">
        <v>247</v>
      </c>
      <c r="D190" s="9" t="n">
        <v>2040</v>
      </c>
      <c r="E190" s="9" t="s">
        <v>200</v>
      </c>
      <c r="F190" s="9" t="n">
        <v>500</v>
      </c>
      <c r="G190" s="9" t="n">
        <v>500</v>
      </c>
      <c r="H190" s="9" t="n">
        <v>450</v>
      </c>
    </row>
    <row r="191" customFormat="false" ht="14.25" hidden="true" customHeight="false" outlineLevel="0" collapsed="false">
      <c r="A191" s="9" t="s">
        <v>431</v>
      </c>
      <c r="B191" s="9" t="s">
        <v>258</v>
      </c>
      <c r="C191" s="9" t="s">
        <v>259</v>
      </c>
      <c r="D191" s="9" t="n">
        <v>2040</v>
      </c>
      <c r="E191" s="9" t="s">
        <v>200</v>
      </c>
      <c r="F191" s="9" t="n">
        <v>500</v>
      </c>
      <c r="G191" s="9" t="n">
        <v>500</v>
      </c>
      <c r="H191" s="9" t="n">
        <v>1700</v>
      </c>
    </row>
    <row r="192" customFormat="false" ht="14.25" hidden="true" customHeight="false" outlineLevel="0" collapsed="false">
      <c r="A192" s="9" t="s">
        <v>432</v>
      </c>
      <c r="B192" s="9" t="s">
        <v>258</v>
      </c>
      <c r="C192" s="9" t="s">
        <v>259</v>
      </c>
      <c r="D192" s="9" t="n">
        <v>2040</v>
      </c>
      <c r="E192" s="9" t="s">
        <v>200</v>
      </c>
      <c r="F192" s="9" t="n">
        <v>500</v>
      </c>
      <c r="G192" s="9" t="n">
        <v>500</v>
      </c>
      <c r="H192" s="9" t="n">
        <v>2000</v>
      </c>
    </row>
    <row r="193" customFormat="false" ht="14.25" hidden="true" customHeight="false" outlineLevel="0" collapsed="false">
      <c r="A193" s="9" t="s">
        <v>433</v>
      </c>
      <c r="B193" s="9" t="s">
        <v>258</v>
      </c>
      <c r="C193" s="9" t="s">
        <v>261</v>
      </c>
      <c r="D193" s="9" t="n">
        <v>2040</v>
      </c>
      <c r="E193" s="9" t="s">
        <v>200</v>
      </c>
      <c r="F193" s="9" t="n">
        <v>500</v>
      </c>
      <c r="G193" s="9" t="n">
        <v>500</v>
      </c>
      <c r="H193" s="9" t="n">
        <v>48</v>
      </c>
    </row>
    <row r="194" customFormat="false" ht="14.25" hidden="true" customHeight="false" outlineLevel="0" collapsed="false">
      <c r="A194" s="9" t="s">
        <v>434</v>
      </c>
      <c r="B194" s="9" t="s">
        <v>258</v>
      </c>
      <c r="C194" s="9" t="s">
        <v>261</v>
      </c>
      <c r="D194" s="9" t="n">
        <v>2040</v>
      </c>
      <c r="E194" s="9" t="s">
        <v>200</v>
      </c>
      <c r="F194" s="9" t="n">
        <v>500</v>
      </c>
      <c r="G194" s="9" t="n">
        <v>500</v>
      </c>
      <c r="H194" s="9" t="n">
        <v>118.75</v>
      </c>
    </row>
    <row r="195" customFormat="false" ht="14.25" hidden="true" customHeight="false" outlineLevel="0" collapsed="false">
      <c r="A195" s="9" t="s">
        <v>435</v>
      </c>
      <c r="B195" s="9" t="s">
        <v>237</v>
      </c>
      <c r="C195" s="9" t="s">
        <v>265</v>
      </c>
      <c r="D195" s="9" t="n">
        <v>2040</v>
      </c>
      <c r="E195" s="9" t="s">
        <v>200</v>
      </c>
      <c r="F195" s="9" t="n">
        <v>500</v>
      </c>
      <c r="G195" s="9" t="n">
        <v>500</v>
      </c>
      <c r="H195" s="9" t="n">
        <v>410.4</v>
      </c>
    </row>
    <row r="196" customFormat="false" ht="14.25" hidden="true" customHeight="false" outlineLevel="0" collapsed="false">
      <c r="A196" s="9" t="s">
        <v>436</v>
      </c>
      <c r="B196" s="9" t="s">
        <v>237</v>
      </c>
      <c r="C196" s="9" t="s">
        <v>265</v>
      </c>
      <c r="D196" s="9" t="n">
        <v>2040</v>
      </c>
      <c r="E196" s="9" t="s">
        <v>200</v>
      </c>
      <c r="F196" s="9" t="n">
        <v>500</v>
      </c>
      <c r="G196" s="9" t="n">
        <v>500</v>
      </c>
      <c r="H196" s="9" t="n">
        <v>624.6</v>
      </c>
    </row>
    <row r="197" customFormat="false" ht="14.25" hidden="true" customHeight="false" outlineLevel="0" collapsed="false">
      <c r="A197" s="9" t="s">
        <v>437</v>
      </c>
      <c r="B197" s="9" t="s">
        <v>237</v>
      </c>
      <c r="C197" s="9" t="s">
        <v>239</v>
      </c>
      <c r="D197" s="9" t="n">
        <v>2040</v>
      </c>
      <c r="E197" s="9" t="s">
        <v>200</v>
      </c>
      <c r="F197" s="9" t="n">
        <v>500</v>
      </c>
      <c r="G197" s="9" t="n">
        <v>500</v>
      </c>
      <c r="H197" s="9" t="n">
        <v>89.45</v>
      </c>
    </row>
    <row r="198" customFormat="false" ht="14.25" hidden="true" customHeight="false" outlineLevel="0" collapsed="false">
      <c r="A198" s="9" t="s">
        <v>438</v>
      </c>
      <c r="B198" s="9" t="s">
        <v>237</v>
      </c>
      <c r="C198" s="9" t="s">
        <v>239</v>
      </c>
      <c r="D198" s="9" t="n">
        <v>2040</v>
      </c>
      <c r="E198" s="9" t="s">
        <v>200</v>
      </c>
      <c r="F198" s="9" t="n">
        <v>500</v>
      </c>
      <c r="G198" s="9" t="n">
        <v>500</v>
      </c>
      <c r="H198" s="9" t="n">
        <v>124.23</v>
      </c>
    </row>
    <row r="199" customFormat="false" ht="14.25" hidden="true" customHeight="false" outlineLevel="0" collapsed="false">
      <c r="A199" s="9" t="s">
        <v>439</v>
      </c>
      <c r="B199" s="9" t="s">
        <v>237</v>
      </c>
      <c r="C199" s="9" t="s">
        <v>203</v>
      </c>
      <c r="D199" s="9" t="n">
        <v>2040</v>
      </c>
      <c r="E199" s="9" t="s">
        <v>200</v>
      </c>
      <c r="F199" s="9" t="n">
        <v>1000</v>
      </c>
      <c r="G199" s="9" t="n">
        <v>1000</v>
      </c>
      <c r="H199" s="9" t="n">
        <v>91.1</v>
      </c>
    </row>
    <row r="200" customFormat="false" ht="14.25" hidden="false" customHeight="false" outlineLevel="0" collapsed="false">
      <c r="A200" s="9" t="s">
        <v>440</v>
      </c>
      <c r="B200" s="9" t="s">
        <v>237</v>
      </c>
      <c r="C200" s="9" t="s">
        <v>203</v>
      </c>
      <c r="D200" s="9" t="n">
        <v>2030</v>
      </c>
      <c r="E200" s="9" t="s">
        <v>200</v>
      </c>
      <c r="F200" s="9" t="n">
        <v>1000</v>
      </c>
      <c r="G200" s="9" t="n">
        <v>1000</v>
      </c>
      <c r="H200" s="9" t="n">
        <v>126</v>
      </c>
    </row>
    <row r="201" customFormat="false" ht="14.25" hidden="false" customHeight="false" outlineLevel="0" collapsed="false">
      <c r="A201" s="9" t="s">
        <v>441</v>
      </c>
      <c r="B201" s="9" t="s">
        <v>265</v>
      </c>
      <c r="C201" s="9" t="s">
        <v>203</v>
      </c>
      <c r="D201" s="9" t="n">
        <v>2030</v>
      </c>
      <c r="E201" s="9" t="s">
        <v>200</v>
      </c>
      <c r="F201" s="9" t="n">
        <v>500</v>
      </c>
      <c r="G201" s="9" t="n">
        <v>500</v>
      </c>
      <c r="H201" s="9" t="n">
        <v>183.6</v>
      </c>
    </row>
    <row r="202" customFormat="false" ht="14.25" hidden="false" customHeight="false" outlineLevel="0" collapsed="false">
      <c r="A202" s="9" t="s">
        <v>442</v>
      </c>
      <c r="B202" s="9" t="s">
        <v>265</v>
      </c>
      <c r="C202" s="9" t="s">
        <v>203</v>
      </c>
      <c r="D202" s="9" t="n">
        <v>2030</v>
      </c>
      <c r="E202" s="9" t="s">
        <v>200</v>
      </c>
      <c r="F202" s="9" t="n">
        <v>500</v>
      </c>
      <c r="G202" s="9" t="n">
        <v>500</v>
      </c>
      <c r="H202" s="9" t="n">
        <v>327.6</v>
      </c>
    </row>
    <row r="203" customFormat="false" ht="14.25" hidden="false" customHeight="false" outlineLevel="0" collapsed="false">
      <c r="A203" s="9" t="s">
        <v>443</v>
      </c>
      <c r="B203" s="9" t="s">
        <v>265</v>
      </c>
      <c r="C203" s="9" t="s">
        <v>242</v>
      </c>
      <c r="D203" s="9" t="n">
        <v>2030</v>
      </c>
      <c r="E203" s="9" t="s">
        <v>200</v>
      </c>
      <c r="F203" s="9" t="n">
        <v>500</v>
      </c>
      <c r="G203" s="9" t="n">
        <v>500</v>
      </c>
      <c r="H203" s="9" t="n">
        <v>441.5</v>
      </c>
    </row>
    <row r="204" customFormat="false" ht="14.25" hidden="false" customHeight="false" outlineLevel="0" collapsed="false">
      <c r="A204" s="9" t="s">
        <v>444</v>
      </c>
      <c r="B204" s="9" t="s">
        <v>265</v>
      </c>
      <c r="C204" s="9" t="s">
        <v>242</v>
      </c>
      <c r="D204" s="9" t="n">
        <v>2030</v>
      </c>
      <c r="E204" s="9" t="s">
        <v>200</v>
      </c>
      <c r="F204" s="9" t="n">
        <v>500</v>
      </c>
      <c r="G204" s="9" t="n">
        <v>500</v>
      </c>
      <c r="H204" s="9" t="n">
        <v>303</v>
      </c>
    </row>
    <row r="205" customFormat="false" ht="14.25" hidden="true" customHeight="false" outlineLevel="0" collapsed="false">
      <c r="A205" s="9" t="s">
        <v>445</v>
      </c>
      <c r="B205" s="9" t="s">
        <v>265</v>
      </c>
      <c r="C205" s="9" t="s">
        <v>266</v>
      </c>
      <c r="D205" s="9" t="n">
        <v>2040</v>
      </c>
      <c r="E205" s="9" t="s">
        <v>200</v>
      </c>
      <c r="F205" s="9" t="n">
        <v>2000</v>
      </c>
      <c r="G205" s="9" t="n">
        <v>2000</v>
      </c>
      <c r="H205" s="9" t="n">
        <v>1939</v>
      </c>
    </row>
    <row r="206" customFormat="false" ht="14.25" hidden="true" customHeight="false" outlineLevel="0" collapsed="false">
      <c r="A206" s="9" t="s">
        <v>446</v>
      </c>
      <c r="B206" s="9" t="s">
        <v>265</v>
      </c>
      <c r="C206" s="9" t="s">
        <v>266</v>
      </c>
      <c r="D206" s="9" t="n">
        <v>2040</v>
      </c>
      <c r="E206" s="9" t="s">
        <v>200</v>
      </c>
      <c r="F206" s="9" t="n">
        <v>2000</v>
      </c>
      <c r="G206" s="9" t="n">
        <v>2000</v>
      </c>
      <c r="H206" s="9" t="n">
        <v>2500</v>
      </c>
    </row>
    <row r="207" customFormat="false" ht="14.25" hidden="true" customHeight="false" outlineLevel="0" collapsed="false">
      <c r="A207" s="9" t="s">
        <v>447</v>
      </c>
      <c r="B207" s="9" t="s">
        <v>265</v>
      </c>
      <c r="C207" s="9" t="s">
        <v>239</v>
      </c>
      <c r="D207" s="9" t="n">
        <v>2040</v>
      </c>
      <c r="E207" s="9" t="s">
        <v>200</v>
      </c>
      <c r="F207" s="9" t="n">
        <v>500</v>
      </c>
      <c r="G207" s="9" t="n">
        <v>500</v>
      </c>
      <c r="H207" s="9" t="n">
        <v>478.18</v>
      </c>
    </row>
    <row r="208" customFormat="false" ht="14.25" hidden="true" customHeight="false" outlineLevel="0" collapsed="false">
      <c r="A208" s="9" t="s">
        <v>448</v>
      </c>
      <c r="B208" s="9" t="s">
        <v>265</v>
      </c>
      <c r="C208" s="9" t="s">
        <v>239</v>
      </c>
      <c r="D208" s="9" t="n">
        <v>2040</v>
      </c>
      <c r="E208" s="9" t="s">
        <v>200</v>
      </c>
      <c r="F208" s="9" t="n">
        <v>500</v>
      </c>
      <c r="G208" s="9" t="n">
        <v>500</v>
      </c>
      <c r="H208" s="9" t="n">
        <v>2500</v>
      </c>
    </row>
    <row r="209" customFormat="false" ht="14.25" hidden="true" customHeight="false" outlineLevel="0" collapsed="false">
      <c r="A209" s="9" t="s">
        <v>449</v>
      </c>
      <c r="B209" s="9" t="s">
        <v>265</v>
      </c>
      <c r="C209" s="9" t="s">
        <v>242</v>
      </c>
      <c r="D209" s="9" t="n">
        <v>2040</v>
      </c>
      <c r="E209" s="9" t="s">
        <v>200</v>
      </c>
      <c r="F209" s="9" t="n">
        <v>500</v>
      </c>
      <c r="G209" s="9" t="n">
        <v>500</v>
      </c>
      <c r="H209" s="9" t="n">
        <v>441.5</v>
      </c>
    </row>
    <row r="210" customFormat="false" ht="14.25" hidden="true" customHeight="false" outlineLevel="0" collapsed="false">
      <c r="A210" s="9" t="s">
        <v>450</v>
      </c>
      <c r="B210" s="9" t="s">
        <v>265</v>
      </c>
      <c r="C210" s="9" t="s">
        <v>242</v>
      </c>
      <c r="D210" s="9" t="n">
        <v>2040</v>
      </c>
      <c r="E210" s="9" t="s">
        <v>200</v>
      </c>
      <c r="F210" s="9" t="n">
        <v>500</v>
      </c>
      <c r="G210" s="9" t="n">
        <v>500</v>
      </c>
      <c r="H210" s="9" t="n">
        <v>303</v>
      </c>
    </row>
    <row r="211" customFormat="false" ht="14.25" hidden="false" customHeight="false" outlineLevel="0" collapsed="false">
      <c r="A211" s="9" t="s">
        <v>451</v>
      </c>
      <c r="B211" s="9" t="s">
        <v>269</v>
      </c>
      <c r="C211" s="9" t="s">
        <v>270</v>
      </c>
      <c r="D211" s="9" t="n">
        <v>2030</v>
      </c>
      <c r="E211" s="9" t="s">
        <v>200</v>
      </c>
      <c r="F211" s="9" t="n">
        <v>500</v>
      </c>
      <c r="G211" s="9" t="n">
        <v>500</v>
      </c>
      <c r="H211" s="9" t="n">
        <v>750</v>
      </c>
    </row>
    <row r="212" customFormat="false" ht="14.25" hidden="false" customHeight="false" outlineLevel="0" collapsed="false">
      <c r="A212" s="9" t="s">
        <v>452</v>
      </c>
      <c r="B212" s="9" t="s">
        <v>269</v>
      </c>
      <c r="C212" s="9" t="s">
        <v>270</v>
      </c>
      <c r="D212" s="9" t="n">
        <v>2030</v>
      </c>
      <c r="E212" s="9" t="s">
        <v>200</v>
      </c>
      <c r="F212" s="9" t="n">
        <v>500</v>
      </c>
      <c r="G212" s="9" t="n">
        <v>500</v>
      </c>
      <c r="H212" s="9" t="n">
        <v>900</v>
      </c>
    </row>
    <row r="213" customFormat="false" ht="14.25" hidden="false" customHeight="false" outlineLevel="0" collapsed="false">
      <c r="A213" s="9" t="s">
        <v>453</v>
      </c>
      <c r="B213" s="9" t="s">
        <v>272</v>
      </c>
      <c r="C213" s="9" t="s">
        <v>252</v>
      </c>
      <c r="D213" s="9" t="n">
        <v>2030</v>
      </c>
      <c r="E213" s="9" t="s">
        <v>200</v>
      </c>
      <c r="F213" s="9" t="n">
        <v>500</v>
      </c>
      <c r="G213" s="9" t="n">
        <v>500</v>
      </c>
      <c r="H213" s="9" t="n">
        <v>300.7</v>
      </c>
    </row>
    <row r="214" customFormat="false" ht="14.25" hidden="false" customHeight="false" outlineLevel="0" collapsed="false">
      <c r="A214" s="9" t="s">
        <v>454</v>
      </c>
      <c r="B214" s="9" t="s">
        <v>272</v>
      </c>
      <c r="C214" s="9" t="s">
        <v>252</v>
      </c>
      <c r="D214" s="9" t="n">
        <v>2030</v>
      </c>
      <c r="E214" s="9" t="s">
        <v>200</v>
      </c>
      <c r="F214" s="9" t="n">
        <v>500</v>
      </c>
      <c r="G214" s="9" t="n">
        <v>500</v>
      </c>
      <c r="H214" s="9" t="n">
        <v>369</v>
      </c>
    </row>
    <row r="215" customFormat="false" ht="14.25" hidden="false" customHeight="false" outlineLevel="0" collapsed="false">
      <c r="A215" s="9" t="s">
        <v>455</v>
      </c>
      <c r="B215" s="9" t="s">
        <v>272</v>
      </c>
      <c r="C215" s="9" t="s">
        <v>252</v>
      </c>
      <c r="D215" s="9" t="n">
        <v>2030</v>
      </c>
      <c r="E215" s="9" t="s">
        <v>200</v>
      </c>
      <c r="F215" s="9" t="n">
        <v>500</v>
      </c>
      <c r="G215" s="9" t="n">
        <v>500</v>
      </c>
      <c r="H215" s="9" t="n">
        <v>430.28</v>
      </c>
    </row>
    <row r="216" customFormat="false" ht="14.25" hidden="true" customHeight="false" outlineLevel="0" collapsed="false">
      <c r="A216" s="9" t="s">
        <v>456</v>
      </c>
      <c r="B216" s="9" t="s">
        <v>272</v>
      </c>
      <c r="C216" s="9" t="s">
        <v>244</v>
      </c>
      <c r="D216" s="9" t="n">
        <v>2040</v>
      </c>
      <c r="E216" s="9" t="s">
        <v>200</v>
      </c>
      <c r="F216" s="9" t="n">
        <v>500</v>
      </c>
      <c r="G216" s="9" t="n">
        <v>500</v>
      </c>
      <c r="H216" s="9" t="n">
        <v>1025</v>
      </c>
    </row>
    <row r="217" customFormat="false" ht="14.25" hidden="true" customHeight="false" outlineLevel="0" collapsed="false">
      <c r="A217" s="9" t="s">
        <v>457</v>
      </c>
      <c r="B217" s="9" t="s">
        <v>272</v>
      </c>
      <c r="C217" s="9" t="s">
        <v>244</v>
      </c>
      <c r="D217" s="9" t="n">
        <v>2040</v>
      </c>
      <c r="E217" s="9" t="s">
        <v>200</v>
      </c>
      <c r="F217" s="9" t="n">
        <v>500</v>
      </c>
      <c r="G217" s="9" t="n">
        <v>500</v>
      </c>
      <c r="H217" s="9" t="n">
        <v>1850</v>
      </c>
    </row>
    <row r="218" customFormat="false" ht="14.25" hidden="true" customHeight="false" outlineLevel="0" collapsed="false">
      <c r="A218" s="9" t="s">
        <v>458</v>
      </c>
      <c r="B218" s="9" t="s">
        <v>270</v>
      </c>
      <c r="C218" s="9" t="s">
        <v>239</v>
      </c>
      <c r="D218" s="9" t="n">
        <v>2040</v>
      </c>
      <c r="E218" s="9" t="s">
        <v>200</v>
      </c>
      <c r="F218" s="9" t="n">
        <v>500</v>
      </c>
      <c r="G218" s="9" t="n">
        <v>500</v>
      </c>
      <c r="H218" s="9" t="n">
        <v>54.82</v>
      </c>
    </row>
    <row r="219" customFormat="false" ht="14.25" hidden="true" customHeight="false" outlineLevel="0" collapsed="false">
      <c r="A219" s="9" t="s">
        <v>459</v>
      </c>
      <c r="B219" s="9" t="s">
        <v>270</v>
      </c>
      <c r="C219" s="9" t="s">
        <v>239</v>
      </c>
      <c r="D219" s="9" t="n">
        <v>2040</v>
      </c>
      <c r="E219" s="9" t="s">
        <v>200</v>
      </c>
      <c r="F219" s="9" t="n">
        <v>500</v>
      </c>
      <c r="G219" s="9" t="n">
        <v>500</v>
      </c>
      <c r="H219" s="9" t="n">
        <v>83.5</v>
      </c>
    </row>
    <row r="220" customFormat="false" ht="14.25" hidden="true" customHeight="false" outlineLevel="0" collapsed="false">
      <c r="A220" s="9" t="s">
        <v>460</v>
      </c>
      <c r="B220" s="9" t="s">
        <v>261</v>
      </c>
      <c r="C220" s="9" t="s">
        <v>239</v>
      </c>
      <c r="D220" s="9" t="n">
        <v>2040</v>
      </c>
      <c r="E220" s="9" t="s">
        <v>200</v>
      </c>
      <c r="F220" s="9" t="n">
        <v>500</v>
      </c>
      <c r="G220" s="9" t="n">
        <v>500</v>
      </c>
      <c r="H220" s="9" t="n">
        <v>95.34</v>
      </c>
    </row>
    <row r="221" customFormat="false" ht="14.25" hidden="true" customHeight="false" outlineLevel="0" collapsed="false">
      <c r="A221" s="9" t="s">
        <v>461</v>
      </c>
      <c r="B221" s="9" t="s">
        <v>261</v>
      </c>
      <c r="C221" s="9" t="s">
        <v>239</v>
      </c>
      <c r="D221" s="9" t="n">
        <v>2040</v>
      </c>
      <c r="E221" s="9" t="s">
        <v>200</v>
      </c>
      <c r="F221" s="9" t="n">
        <v>500</v>
      </c>
      <c r="G221" s="9" t="n">
        <v>500</v>
      </c>
      <c r="H221" s="9" t="n">
        <v>144.78</v>
      </c>
    </row>
    <row r="222" customFormat="false" ht="14.25" hidden="true" customHeight="false" outlineLevel="0" collapsed="false">
      <c r="A222" s="9" t="s">
        <v>462</v>
      </c>
      <c r="B222" s="9" t="s">
        <v>212</v>
      </c>
      <c r="C222" s="9" t="s">
        <v>329</v>
      </c>
      <c r="D222" s="9" t="n">
        <v>2040</v>
      </c>
      <c r="E222" s="9" t="s">
        <v>200</v>
      </c>
      <c r="F222" s="9" t="n">
        <v>1000</v>
      </c>
      <c r="G222" s="9" t="n">
        <v>1000</v>
      </c>
      <c r="H222" s="9" t="n">
        <v>2600</v>
      </c>
    </row>
    <row r="223" customFormat="false" ht="14.25" hidden="true" customHeight="false" outlineLevel="0" collapsed="false">
      <c r="A223" s="9" t="s">
        <v>463</v>
      </c>
      <c r="B223" s="9" t="s">
        <v>212</v>
      </c>
      <c r="C223" s="9" t="s">
        <v>329</v>
      </c>
      <c r="D223" s="9" t="n">
        <v>2040</v>
      </c>
      <c r="E223" s="9" t="s">
        <v>200</v>
      </c>
      <c r="F223" s="9" t="n">
        <v>1000</v>
      </c>
      <c r="G223" s="9" t="n">
        <v>1000</v>
      </c>
      <c r="H223" s="9" t="n">
        <v>2610</v>
      </c>
    </row>
    <row r="224" customFormat="false" ht="14.25" hidden="true" customHeight="false" outlineLevel="0" collapsed="false">
      <c r="A224" s="9" t="s">
        <v>464</v>
      </c>
      <c r="B224" s="9" t="s">
        <v>465</v>
      </c>
      <c r="C224" s="9" t="s">
        <v>275</v>
      </c>
      <c r="D224" s="9" t="n">
        <v>2040</v>
      </c>
      <c r="E224" s="9" t="s">
        <v>200</v>
      </c>
      <c r="F224" s="9" t="n">
        <v>500</v>
      </c>
      <c r="G224" s="9" t="n">
        <v>500</v>
      </c>
      <c r="H224" s="9" t="n">
        <v>250</v>
      </c>
    </row>
    <row r="225" customFormat="false" ht="14.25" hidden="true" customHeight="false" outlineLevel="0" collapsed="false">
      <c r="A225" s="9" t="s">
        <v>466</v>
      </c>
      <c r="B225" s="9" t="s">
        <v>465</v>
      </c>
      <c r="C225" s="9" t="s">
        <v>275</v>
      </c>
      <c r="D225" s="9" t="n">
        <v>2040</v>
      </c>
      <c r="E225" s="9" t="s">
        <v>200</v>
      </c>
      <c r="F225" s="9" t="n">
        <v>500</v>
      </c>
      <c r="G225" s="9" t="n">
        <v>500</v>
      </c>
      <c r="H225" s="9" t="n">
        <v>250</v>
      </c>
    </row>
    <row r="226" customFormat="false" ht="14.25" hidden="true" customHeight="false" outlineLevel="0" collapsed="false">
      <c r="A226" s="9" t="s">
        <v>467</v>
      </c>
      <c r="B226" s="9" t="s">
        <v>418</v>
      </c>
      <c r="C226" s="9" t="s">
        <v>254</v>
      </c>
      <c r="D226" s="9" t="n">
        <v>2040</v>
      </c>
      <c r="E226" s="9" t="s">
        <v>200</v>
      </c>
      <c r="F226" s="9" t="n">
        <v>500</v>
      </c>
      <c r="G226" s="9" t="n">
        <v>500</v>
      </c>
      <c r="H226" s="9" t="n">
        <v>250</v>
      </c>
    </row>
    <row r="227" customFormat="false" ht="14.25" hidden="true" customHeight="false" outlineLevel="0" collapsed="false">
      <c r="A227" s="9" t="s">
        <v>468</v>
      </c>
      <c r="B227" s="9" t="s">
        <v>418</v>
      </c>
      <c r="C227" s="9" t="s">
        <v>254</v>
      </c>
      <c r="D227" s="9" t="n">
        <v>2040</v>
      </c>
      <c r="E227" s="9" t="s">
        <v>200</v>
      </c>
      <c r="F227" s="9" t="n">
        <v>500</v>
      </c>
      <c r="G227" s="9" t="n">
        <v>500</v>
      </c>
      <c r="H227" s="9" t="n">
        <v>250</v>
      </c>
    </row>
    <row r="228" customFormat="false" ht="14.25" hidden="true" customHeight="false" outlineLevel="0" collapsed="false">
      <c r="A228" s="9" t="s">
        <v>469</v>
      </c>
      <c r="B228" s="9" t="s">
        <v>418</v>
      </c>
      <c r="C228" s="9" t="s">
        <v>275</v>
      </c>
      <c r="D228" s="9" t="n">
        <v>2040</v>
      </c>
      <c r="E228" s="9" t="s">
        <v>200</v>
      </c>
      <c r="F228" s="9" t="n">
        <v>500</v>
      </c>
      <c r="G228" s="9" t="n">
        <v>500</v>
      </c>
      <c r="H228" s="9" t="n">
        <v>250</v>
      </c>
    </row>
    <row r="229" customFormat="false" ht="14.25" hidden="true" customHeight="false" outlineLevel="0" collapsed="false">
      <c r="A229" s="9" t="s">
        <v>470</v>
      </c>
      <c r="B229" s="9" t="s">
        <v>418</v>
      </c>
      <c r="C229" s="9" t="s">
        <v>275</v>
      </c>
      <c r="D229" s="9" t="n">
        <v>2040</v>
      </c>
      <c r="E229" s="9" t="s">
        <v>200</v>
      </c>
      <c r="F229" s="9" t="n">
        <v>500</v>
      </c>
      <c r="G229" s="9" t="n">
        <v>500</v>
      </c>
      <c r="H229" s="9" t="n">
        <v>250</v>
      </c>
    </row>
    <row r="230" customFormat="false" ht="14.25" hidden="true" customHeight="false" outlineLevel="0" collapsed="false">
      <c r="A230" s="9" t="s">
        <v>471</v>
      </c>
      <c r="B230" s="9" t="s">
        <v>329</v>
      </c>
      <c r="C230" s="9" t="s">
        <v>247</v>
      </c>
      <c r="D230" s="9" t="n">
        <v>2040</v>
      </c>
      <c r="E230" s="9" t="s">
        <v>200</v>
      </c>
      <c r="F230" s="9" t="n">
        <v>500</v>
      </c>
      <c r="G230" s="9" t="n">
        <v>500</v>
      </c>
      <c r="H230" s="9" t="n">
        <v>250</v>
      </c>
    </row>
    <row r="231" customFormat="false" ht="14.25" hidden="true" customHeight="false" outlineLevel="0" collapsed="false">
      <c r="A231" s="9" t="s">
        <v>472</v>
      </c>
      <c r="B231" s="9" t="s">
        <v>329</v>
      </c>
      <c r="C231" s="9" t="s">
        <v>247</v>
      </c>
      <c r="D231" s="9" t="n">
        <v>2040</v>
      </c>
      <c r="E231" s="9" t="s">
        <v>200</v>
      </c>
      <c r="F231" s="9" t="n">
        <v>500</v>
      </c>
      <c r="G231" s="9" t="n">
        <v>500</v>
      </c>
      <c r="H231" s="9" t="n">
        <v>250</v>
      </c>
    </row>
    <row r="232" customFormat="false" ht="14.25" hidden="true" customHeight="false" outlineLevel="0" collapsed="false">
      <c r="A232" s="9" t="s">
        <v>473</v>
      </c>
      <c r="B232" s="9" t="s">
        <v>329</v>
      </c>
      <c r="C232" s="9" t="s">
        <v>247</v>
      </c>
      <c r="D232" s="9" t="n">
        <v>2040</v>
      </c>
      <c r="E232" s="9" t="s">
        <v>200</v>
      </c>
      <c r="F232" s="9" t="n">
        <v>500</v>
      </c>
      <c r="G232" s="9" t="n">
        <v>500</v>
      </c>
      <c r="H232" s="9" t="n">
        <v>250</v>
      </c>
    </row>
    <row r="233" customFormat="false" ht="14.25" hidden="true" customHeight="false" outlineLevel="0" collapsed="false">
      <c r="A233" s="9" t="s">
        <v>474</v>
      </c>
      <c r="B233" s="9" t="s">
        <v>329</v>
      </c>
      <c r="C233" s="9" t="s">
        <v>247</v>
      </c>
      <c r="D233" s="9" t="n">
        <v>2040</v>
      </c>
      <c r="E233" s="9" t="s">
        <v>200</v>
      </c>
      <c r="F233" s="9" t="n">
        <v>500</v>
      </c>
      <c r="G233" s="9" t="n">
        <v>500</v>
      </c>
      <c r="H233" s="9" t="n">
        <v>250</v>
      </c>
    </row>
    <row r="234" customFormat="false" ht="14.25" hidden="true" customHeight="false" outlineLevel="0" collapsed="false">
      <c r="A234" s="9" t="s">
        <v>475</v>
      </c>
      <c r="B234" s="9" t="s">
        <v>374</v>
      </c>
      <c r="C234" s="9" t="s">
        <v>244</v>
      </c>
      <c r="D234" s="9" t="n">
        <v>2040</v>
      </c>
      <c r="E234" s="9" t="s">
        <v>200</v>
      </c>
      <c r="F234" s="9" t="n">
        <v>500</v>
      </c>
      <c r="G234" s="9" t="n">
        <v>500</v>
      </c>
      <c r="H234" s="9" t="n">
        <v>1640</v>
      </c>
    </row>
    <row r="235" customFormat="false" ht="14.25" hidden="true" customHeight="false" outlineLevel="0" collapsed="false">
      <c r="A235" s="9" t="s">
        <v>476</v>
      </c>
      <c r="B235" s="9" t="s">
        <v>374</v>
      </c>
      <c r="C235" s="9" t="s">
        <v>244</v>
      </c>
      <c r="D235" s="9" t="n">
        <v>2040</v>
      </c>
      <c r="E235" s="9" t="s">
        <v>200</v>
      </c>
      <c r="F235" s="9" t="n">
        <v>500</v>
      </c>
      <c r="G235" s="9" t="n">
        <v>500</v>
      </c>
      <c r="H235" s="9" t="n">
        <v>1690</v>
      </c>
    </row>
    <row r="236" customFormat="false" ht="14.25" hidden="true" customHeight="false" outlineLevel="0" collapsed="false">
      <c r="A236" s="9" t="s">
        <v>477</v>
      </c>
      <c r="B236" s="9" t="s">
        <v>374</v>
      </c>
      <c r="C236" s="9" t="s">
        <v>242</v>
      </c>
      <c r="D236" s="9" t="n">
        <v>2040</v>
      </c>
      <c r="E236" s="9" t="s">
        <v>200</v>
      </c>
      <c r="F236" s="9" t="n">
        <v>1000</v>
      </c>
      <c r="G236" s="9" t="n">
        <v>1000</v>
      </c>
      <c r="H236" s="9" t="n">
        <v>1338</v>
      </c>
    </row>
    <row r="237" customFormat="false" ht="14.25" hidden="true" customHeight="false" outlineLevel="0" collapsed="false">
      <c r="A237" s="9" t="s">
        <v>478</v>
      </c>
      <c r="B237" s="9" t="s">
        <v>374</v>
      </c>
      <c r="C237" s="9" t="s">
        <v>242</v>
      </c>
      <c r="D237" s="9" t="n">
        <v>2040</v>
      </c>
      <c r="E237" s="9" t="s">
        <v>200</v>
      </c>
      <c r="F237" s="9" t="n">
        <v>1000</v>
      </c>
      <c r="G237" s="9" t="n">
        <v>1000</v>
      </c>
      <c r="H237" s="9" t="n">
        <v>10000</v>
      </c>
    </row>
    <row r="238" customFormat="false" ht="14.25" hidden="true" customHeight="false" outlineLevel="0" collapsed="false">
      <c r="A238" s="9" t="s">
        <v>479</v>
      </c>
      <c r="B238" s="9" t="s">
        <v>266</v>
      </c>
      <c r="C238" s="9" t="s">
        <v>239</v>
      </c>
      <c r="D238" s="9" t="n">
        <v>2040</v>
      </c>
      <c r="E238" s="9" t="s">
        <v>200</v>
      </c>
      <c r="F238" s="9" t="n">
        <v>500</v>
      </c>
      <c r="G238" s="9" t="n">
        <v>500</v>
      </c>
      <c r="H238" s="9" t="n">
        <v>149.01</v>
      </c>
    </row>
    <row r="239" customFormat="false" ht="14.25" hidden="true" customHeight="false" outlineLevel="0" collapsed="false">
      <c r="A239" s="9" t="s">
        <v>480</v>
      </c>
      <c r="B239" s="9" t="s">
        <v>266</v>
      </c>
      <c r="C239" s="9" t="s">
        <v>239</v>
      </c>
      <c r="D239" s="9" t="n">
        <v>2040</v>
      </c>
      <c r="E239" s="9" t="s">
        <v>200</v>
      </c>
      <c r="F239" s="9" t="n">
        <v>500</v>
      </c>
      <c r="G239" s="9" t="n">
        <v>500</v>
      </c>
      <c r="H239" s="9" t="n">
        <v>248.9</v>
      </c>
    </row>
    <row r="240" customFormat="false" ht="14.25" hidden="true" customHeight="false" outlineLevel="0" collapsed="false">
      <c r="A240" s="9" t="s">
        <v>481</v>
      </c>
      <c r="B240" s="9" t="s">
        <v>254</v>
      </c>
      <c r="C240" s="9" t="s">
        <v>275</v>
      </c>
      <c r="D240" s="9" t="n">
        <v>2040</v>
      </c>
      <c r="E240" s="9" t="s">
        <v>200</v>
      </c>
      <c r="F240" s="9" t="n">
        <v>1000</v>
      </c>
      <c r="G240" s="9" t="n">
        <v>1000</v>
      </c>
      <c r="H240" s="9" t="n">
        <v>630</v>
      </c>
    </row>
    <row r="241" customFormat="false" ht="14.25" hidden="true" customHeight="false" outlineLevel="0" collapsed="false">
      <c r="A241" s="9" t="s">
        <v>482</v>
      </c>
      <c r="B241" s="9" t="s">
        <v>254</v>
      </c>
      <c r="C241" s="9" t="s">
        <v>275</v>
      </c>
      <c r="D241" s="9" t="n">
        <v>2040</v>
      </c>
      <c r="E241" s="9" t="s">
        <v>200</v>
      </c>
      <c r="F241" s="9" t="n">
        <v>1000</v>
      </c>
      <c r="G241" s="9" t="n">
        <v>1000</v>
      </c>
      <c r="H241" s="9" t="n">
        <v>630</v>
      </c>
    </row>
    <row r="242" customFormat="false" ht="14.25" hidden="true" customHeight="false" outlineLevel="0" collapsed="false">
      <c r="A242" s="9" t="s">
        <v>483</v>
      </c>
      <c r="B242" s="9" t="s">
        <v>275</v>
      </c>
      <c r="C242" s="9" t="s">
        <v>247</v>
      </c>
      <c r="D242" s="9" t="n">
        <v>2040</v>
      </c>
      <c r="E242" s="9" t="s">
        <v>200</v>
      </c>
      <c r="F242" s="9" t="n">
        <v>1000</v>
      </c>
      <c r="G242" s="9" t="n">
        <v>1000</v>
      </c>
      <c r="H242" s="9" t="n">
        <v>780</v>
      </c>
    </row>
    <row r="243" customFormat="false" ht="14.25" hidden="true" customHeight="false" outlineLevel="0" collapsed="false">
      <c r="A243" s="9" t="s">
        <v>484</v>
      </c>
      <c r="B243" s="9" t="s">
        <v>275</v>
      </c>
      <c r="C243" s="9" t="s">
        <v>247</v>
      </c>
      <c r="D243" s="9" t="n">
        <v>2040</v>
      </c>
      <c r="E243" s="9" t="s">
        <v>200</v>
      </c>
      <c r="F243" s="9" t="n">
        <v>1000</v>
      </c>
      <c r="G243" s="9" t="n">
        <v>1000</v>
      </c>
      <c r="H243" s="9" t="n">
        <v>780</v>
      </c>
    </row>
    <row r="244" customFormat="false" ht="14.25" hidden="true" customHeight="false" outlineLevel="0" collapsed="false">
      <c r="A244" s="9" t="s">
        <v>485</v>
      </c>
      <c r="B244" s="9" t="s">
        <v>247</v>
      </c>
      <c r="C244" s="9" t="s">
        <v>244</v>
      </c>
      <c r="D244" s="9" t="n">
        <v>2040</v>
      </c>
      <c r="E244" s="9" t="s">
        <v>200</v>
      </c>
      <c r="F244" s="9" t="n">
        <v>1000</v>
      </c>
      <c r="G244" s="9" t="n">
        <v>1000</v>
      </c>
      <c r="H244" s="9" t="n">
        <v>550</v>
      </c>
    </row>
    <row r="245" customFormat="false" ht="14.25" hidden="true" customHeight="false" outlineLevel="0" collapsed="false">
      <c r="A245" s="9" t="s">
        <v>486</v>
      </c>
      <c r="B245" s="9" t="s">
        <v>247</v>
      </c>
      <c r="C245" s="9" t="s">
        <v>244</v>
      </c>
      <c r="D245" s="9" t="n">
        <v>2040</v>
      </c>
      <c r="E245" s="9" t="s">
        <v>200</v>
      </c>
      <c r="F245" s="9" t="n">
        <v>1000</v>
      </c>
      <c r="G245" s="9" t="n">
        <v>1000</v>
      </c>
      <c r="H245" s="9" t="n">
        <v>550</v>
      </c>
    </row>
    <row r="246" customFormat="false" ht="14.25" hidden="false" customHeight="false" outlineLevel="0" collapsed="false">
      <c r="A246" s="9" t="s">
        <v>487</v>
      </c>
      <c r="B246" s="9" t="s">
        <v>269</v>
      </c>
      <c r="C246" s="9" t="s">
        <v>259</v>
      </c>
      <c r="D246" s="9" t="n">
        <v>2030</v>
      </c>
      <c r="E246" s="9" t="s">
        <v>200</v>
      </c>
      <c r="F246" s="9" t="n">
        <v>300</v>
      </c>
      <c r="G246" s="9" t="n">
        <v>300</v>
      </c>
      <c r="H246" s="9" t="n">
        <v>274</v>
      </c>
    </row>
    <row r="247" customFormat="false" ht="14.25" hidden="false" customHeight="false" outlineLevel="0" collapsed="false">
      <c r="A247" s="9" t="s">
        <v>488</v>
      </c>
      <c r="B247" s="9" t="s">
        <v>269</v>
      </c>
      <c r="C247" s="9" t="s">
        <v>259</v>
      </c>
      <c r="D247" s="9" t="n">
        <v>2030</v>
      </c>
      <c r="E247" s="9" t="s">
        <v>200</v>
      </c>
      <c r="F247" s="9" t="n">
        <v>200</v>
      </c>
      <c r="G247" s="9" t="n">
        <v>200</v>
      </c>
      <c r="H247" s="9" t="n">
        <v>60</v>
      </c>
    </row>
    <row r="248" customFormat="false" ht="14.25" hidden="false" customHeight="false" outlineLevel="0" collapsed="false">
      <c r="A248" s="9" t="s">
        <v>489</v>
      </c>
      <c r="B248" s="9" t="s">
        <v>269</v>
      </c>
      <c r="C248" s="9" t="s">
        <v>199</v>
      </c>
      <c r="D248" s="9" t="n">
        <v>2030</v>
      </c>
      <c r="E248" s="9" t="s">
        <v>200</v>
      </c>
      <c r="F248" s="9" t="n">
        <v>2000</v>
      </c>
      <c r="G248" s="9" t="n">
        <v>2000</v>
      </c>
      <c r="H248" s="9" t="n">
        <v>2675</v>
      </c>
    </row>
    <row r="249" customFormat="false" ht="14.25" hidden="false" customHeight="false" outlineLevel="0" collapsed="false">
      <c r="A249" s="9" t="s">
        <v>490</v>
      </c>
      <c r="B249" s="9" t="s">
        <v>269</v>
      </c>
      <c r="C249" s="9" t="s">
        <v>491</v>
      </c>
      <c r="D249" s="9" t="n">
        <v>2030</v>
      </c>
      <c r="E249" s="9" t="s">
        <v>200</v>
      </c>
      <c r="F249" s="9" t="n">
        <v>800</v>
      </c>
      <c r="G249" s="9" t="n">
        <v>0</v>
      </c>
      <c r="H249" s="9" t="n">
        <v>0</v>
      </c>
    </row>
    <row r="250" customFormat="false" ht="14.25" hidden="false" customHeight="false" outlineLevel="0" collapsed="false">
      <c r="A250" s="9" t="s">
        <v>492</v>
      </c>
      <c r="B250" s="9" t="s">
        <v>269</v>
      </c>
      <c r="C250" s="9" t="s">
        <v>491</v>
      </c>
      <c r="D250" s="9" t="n">
        <v>2030</v>
      </c>
      <c r="E250" s="9" t="s">
        <v>200</v>
      </c>
      <c r="F250" s="9" t="n">
        <v>500</v>
      </c>
      <c r="G250" s="9" t="n">
        <v>500</v>
      </c>
      <c r="H250" s="9" t="n">
        <v>2355</v>
      </c>
    </row>
    <row r="251" customFormat="false" ht="14.25" hidden="false" customHeight="false" outlineLevel="0" collapsed="false">
      <c r="A251" s="9" t="s">
        <v>493</v>
      </c>
      <c r="B251" s="9" t="s">
        <v>269</v>
      </c>
      <c r="C251" s="9" t="s">
        <v>259</v>
      </c>
      <c r="D251" s="9" t="n">
        <v>2030</v>
      </c>
      <c r="E251" s="9" t="s">
        <v>200</v>
      </c>
      <c r="F251" s="9" t="n">
        <v>600</v>
      </c>
      <c r="G251" s="9" t="n">
        <v>600</v>
      </c>
      <c r="H251" s="9" t="n">
        <v>0</v>
      </c>
    </row>
    <row r="252" customFormat="false" ht="14.25" hidden="false" customHeight="false" outlineLevel="0" collapsed="false">
      <c r="A252" s="9" t="s">
        <v>494</v>
      </c>
      <c r="B252" s="9" t="s">
        <v>269</v>
      </c>
      <c r="C252" s="9" t="s">
        <v>491</v>
      </c>
      <c r="D252" s="9" t="n">
        <v>2030</v>
      </c>
      <c r="E252" s="9" t="s">
        <v>200</v>
      </c>
      <c r="F252" s="9" t="n">
        <v>500</v>
      </c>
      <c r="G252" s="9" t="n">
        <v>500</v>
      </c>
      <c r="H252" s="9" t="n">
        <v>0</v>
      </c>
    </row>
    <row r="253" customFormat="false" ht="14.25" hidden="false" customHeight="false" outlineLevel="0" collapsed="false">
      <c r="A253" s="9" t="s">
        <v>495</v>
      </c>
      <c r="B253" s="9" t="s">
        <v>491</v>
      </c>
      <c r="C253" s="9" t="s">
        <v>199</v>
      </c>
      <c r="D253" s="9" t="n">
        <v>2030</v>
      </c>
      <c r="E253" s="9" t="s">
        <v>200</v>
      </c>
      <c r="F253" s="9" t="n">
        <v>2000</v>
      </c>
      <c r="G253" s="9" t="n">
        <v>2000</v>
      </c>
      <c r="H253" s="9" t="n">
        <v>0</v>
      </c>
    </row>
    <row r="254" customFormat="false" ht="14.25" hidden="false" customHeight="false" outlineLevel="0" collapsed="false">
      <c r="A254" s="9" t="s">
        <v>496</v>
      </c>
      <c r="B254" s="9" t="s">
        <v>269</v>
      </c>
      <c r="C254" s="9" t="s">
        <v>491</v>
      </c>
      <c r="D254" s="9" t="n">
        <v>2030</v>
      </c>
      <c r="E254" s="9" t="s">
        <v>200</v>
      </c>
      <c r="F254" s="9" t="n">
        <v>600</v>
      </c>
      <c r="G254" s="9" t="n">
        <v>600</v>
      </c>
      <c r="H254" s="9" t="n">
        <v>280</v>
      </c>
    </row>
    <row r="255" customFormat="false" ht="14.25" hidden="false" customHeight="false" outlineLevel="0" collapsed="false">
      <c r="A255" s="9" t="s">
        <v>497</v>
      </c>
      <c r="B255" s="9" t="s">
        <v>323</v>
      </c>
      <c r="C255" s="9" t="s">
        <v>498</v>
      </c>
      <c r="D255" s="9" t="n">
        <v>2030</v>
      </c>
      <c r="E255" s="9" t="s">
        <v>200</v>
      </c>
      <c r="F255" s="9" t="n">
        <v>2000</v>
      </c>
      <c r="G255" s="9" t="n">
        <v>2000</v>
      </c>
      <c r="H255" s="9" t="n">
        <v>1410</v>
      </c>
    </row>
    <row r="256" customFormat="false" ht="14.25" hidden="false" customHeight="false" outlineLevel="0" collapsed="false">
      <c r="A256" s="9" t="s">
        <v>499</v>
      </c>
      <c r="B256" s="9" t="s">
        <v>259</v>
      </c>
      <c r="C256" s="9" t="s">
        <v>498</v>
      </c>
      <c r="D256" s="9" t="n">
        <v>2030</v>
      </c>
      <c r="E256" s="9" t="s">
        <v>200</v>
      </c>
      <c r="F256" s="9" t="n">
        <v>2000</v>
      </c>
      <c r="G256" s="9" t="n">
        <v>2000</v>
      </c>
      <c r="H256" s="9" t="n">
        <v>2724</v>
      </c>
    </row>
    <row r="257" customFormat="false" ht="14.25" hidden="false" customHeight="false" outlineLevel="0" collapsed="false">
      <c r="A257" s="9" t="s">
        <v>500</v>
      </c>
      <c r="B257" s="9" t="s">
        <v>269</v>
      </c>
      <c r="C257" s="9" t="s">
        <v>259</v>
      </c>
      <c r="D257" s="9" t="n">
        <v>2030</v>
      </c>
      <c r="E257" s="9" t="s">
        <v>200</v>
      </c>
      <c r="F257" s="9" t="n">
        <v>2000</v>
      </c>
      <c r="G257" s="9" t="n">
        <v>2000</v>
      </c>
      <c r="H257" s="9" t="n">
        <v>0</v>
      </c>
    </row>
    <row r="258" customFormat="false" ht="14.25" hidden="false" customHeight="false" outlineLevel="0" collapsed="false">
      <c r="A258" s="9" t="s">
        <v>501</v>
      </c>
      <c r="B258" s="9" t="s">
        <v>502</v>
      </c>
      <c r="C258" s="9" t="s">
        <v>269</v>
      </c>
      <c r="D258" s="9" t="n">
        <v>2030</v>
      </c>
      <c r="E258" s="9" t="s">
        <v>200</v>
      </c>
      <c r="F258" s="9" t="n">
        <v>1000</v>
      </c>
      <c r="G258" s="9" t="n">
        <v>1000</v>
      </c>
      <c r="H258" s="9" t="n">
        <v>1422</v>
      </c>
    </row>
    <row r="259" customFormat="false" ht="14.25" hidden="false" customHeight="false" outlineLevel="0" collapsed="false">
      <c r="A259" s="9"/>
      <c r="B259" s="9"/>
      <c r="C259" s="9"/>
      <c r="D259" s="9"/>
      <c r="E259" s="9"/>
      <c r="F259" s="9"/>
      <c r="G259" s="9"/>
      <c r="H259" s="9"/>
    </row>
    <row r="260" customFormat="false" ht="14.25" hidden="false" customHeight="false" outlineLevel="0" collapsed="false">
      <c r="A260" s="9"/>
      <c r="B260" s="9"/>
      <c r="C260" s="9"/>
      <c r="D260" s="9"/>
      <c r="E260" s="9"/>
      <c r="F260" s="9"/>
      <c r="G260" s="9"/>
      <c r="H260" s="9"/>
    </row>
    <row r="261" customFormat="false" ht="14.25" hidden="false" customHeight="false" outlineLevel="0" collapsed="false">
      <c r="A261" s="9"/>
      <c r="B261" s="9"/>
      <c r="C261" s="9"/>
      <c r="D261" s="9"/>
      <c r="E261" s="9"/>
      <c r="F261" s="9"/>
      <c r="G261" s="9"/>
      <c r="H261" s="9"/>
    </row>
  </sheetData>
  <autoFilter ref="A1:H261">
    <filterColumn colId="3">
      <filters blank="1">
        <filter val="2030"/>
        <filter val="2035"/>
      </filters>
    </filterColumn>
  </autoFilter>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ISC - Uso INTERNO / INTERNAL Use</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H28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R19" activeCellId="0" sqref="R19"/>
    </sheetView>
  </sheetViews>
  <sheetFormatPr defaultColWidth="11.453125" defaultRowHeight="14.25" customHeight="false" zeroHeight="false" outlineLevelRow="0" outlineLevelCol="0"/>
  <cols>
    <col collapsed="false" customWidth="true" hidden="false" outlineLevel="0" max="1" min="1" style="1" width="7.73"/>
    <col collapsed="false" customWidth="true" hidden="false" outlineLevel="0" max="2" min="2" style="1" width="11.27"/>
    <col collapsed="false" customWidth="true" hidden="false" outlineLevel="0" max="3" min="3" style="1" width="8.54"/>
    <col collapsed="false" customWidth="true" hidden="false" outlineLevel="0" max="4" min="4" style="1" width="5.18"/>
    <col collapsed="false" customWidth="true" hidden="false" outlineLevel="0" max="5" min="5" style="1" width="9.54"/>
    <col collapsed="false" customWidth="true" hidden="false" outlineLevel="0" max="7" min="6" style="1" width="16.73"/>
    <col collapsed="false" customWidth="true" hidden="false" outlineLevel="0" max="8" min="8" style="1" width="12.82"/>
  </cols>
  <sheetData>
    <row r="1" customFormat="false" ht="14.25" hidden="false" customHeight="false" outlineLevel="0" collapsed="false">
      <c r="A1" s="9" t="s">
        <v>189</v>
      </c>
      <c r="B1" s="9" t="s">
        <v>190</v>
      </c>
      <c r="C1" s="9" t="s">
        <v>191</v>
      </c>
      <c r="D1" s="9" t="s">
        <v>192</v>
      </c>
      <c r="E1" s="9" t="s">
        <v>193</v>
      </c>
      <c r="F1" s="9" t="s">
        <v>194</v>
      </c>
      <c r="G1" s="9" t="s">
        <v>195</v>
      </c>
      <c r="H1" s="9" t="s">
        <v>196</v>
      </c>
    </row>
    <row r="2" customFormat="false" ht="14.25" hidden="false" customHeight="false" outlineLevel="0" collapsed="false">
      <c r="A2" s="9" t="s">
        <v>503</v>
      </c>
      <c r="B2" s="9" t="s">
        <v>504</v>
      </c>
      <c r="C2" s="9" t="s">
        <v>505</v>
      </c>
      <c r="D2" s="9" t="n">
        <v>2030</v>
      </c>
      <c r="E2" s="9" t="s">
        <v>200</v>
      </c>
      <c r="F2" s="9" t="n">
        <v>3875</v>
      </c>
      <c r="G2" s="9" t="n">
        <v>0</v>
      </c>
      <c r="H2" s="15" t="n">
        <v>215288209</v>
      </c>
    </row>
    <row r="3" customFormat="false" ht="14.25" hidden="false" customHeight="false" outlineLevel="0" collapsed="false">
      <c r="A3" s="9" t="s">
        <v>156</v>
      </c>
      <c r="B3" s="9" t="s">
        <v>504</v>
      </c>
      <c r="C3" s="9" t="s">
        <v>506</v>
      </c>
      <c r="D3" s="9" t="n">
        <v>2030</v>
      </c>
      <c r="E3" s="9" t="s">
        <v>200</v>
      </c>
      <c r="F3" s="9" t="n">
        <v>1375</v>
      </c>
      <c r="G3" s="9" t="n">
        <v>667</v>
      </c>
      <c r="H3" s="15" t="n">
        <v>92935025</v>
      </c>
    </row>
    <row r="4" customFormat="false" ht="14.25" hidden="false" customHeight="false" outlineLevel="0" collapsed="false">
      <c r="A4" s="9" t="s">
        <v>157</v>
      </c>
      <c r="B4" s="9" t="s">
        <v>504</v>
      </c>
      <c r="C4" s="9" t="s">
        <v>507</v>
      </c>
      <c r="D4" s="9" t="n">
        <v>2030</v>
      </c>
      <c r="E4" s="9" t="s">
        <v>200</v>
      </c>
      <c r="F4" s="9" t="n">
        <v>500</v>
      </c>
      <c r="G4" s="9" t="n">
        <v>500</v>
      </c>
      <c r="H4" s="15" t="n">
        <v>21589167</v>
      </c>
    </row>
    <row r="5" customFormat="false" ht="14.25" hidden="false" customHeight="false" outlineLevel="0" collapsed="false">
      <c r="A5" s="9" t="s">
        <v>158</v>
      </c>
      <c r="B5" s="9" t="s">
        <v>508</v>
      </c>
      <c r="C5" s="9" t="s">
        <v>509</v>
      </c>
      <c r="D5" s="9" t="n">
        <v>2030</v>
      </c>
      <c r="E5" s="9" t="s">
        <v>200</v>
      </c>
      <c r="F5" s="9" t="n">
        <v>3833</v>
      </c>
      <c r="G5" s="9" t="n">
        <v>3833</v>
      </c>
      <c r="H5" s="15" t="n">
        <v>170985576</v>
      </c>
    </row>
    <row r="6" customFormat="false" ht="14.25" hidden="false" customHeight="false" outlineLevel="0" collapsed="false">
      <c r="A6" s="9" t="s">
        <v>159</v>
      </c>
      <c r="B6" s="9" t="s">
        <v>508</v>
      </c>
      <c r="C6" s="9" t="s">
        <v>510</v>
      </c>
      <c r="D6" s="9" t="n">
        <v>2030</v>
      </c>
      <c r="E6" s="9" t="s">
        <v>200</v>
      </c>
      <c r="F6" s="9" t="n">
        <v>583</v>
      </c>
      <c r="G6" s="9" t="n">
        <v>583</v>
      </c>
      <c r="H6" s="15" t="n">
        <v>50345937</v>
      </c>
    </row>
    <row r="7" customFormat="false" ht="14.25" hidden="false" customHeight="false" outlineLevel="0" collapsed="false">
      <c r="A7" s="9" t="s">
        <v>161</v>
      </c>
      <c r="B7" s="9" t="s">
        <v>508</v>
      </c>
      <c r="C7" s="9" t="s">
        <v>511</v>
      </c>
      <c r="D7" s="9" t="n">
        <v>2030</v>
      </c>
      <c r="E7" s="9"/>
      <c r="F7" s="9" t="n">
        <v>6000</v>
      </c>
      <c r="G7" s="9" t="n">
        <v>6000</v>
      </c>
      <c r="H7" s="15" t="n">
        <v>50791735</v>
      </c>
    </row>
    <row r="8" customFormat="false" ht="14.25" hidden="false" customHeight="false" outlineLevel="0" collapsed="false">
      <c r="A8" s="9" t="s">
        <v>161</v>
      </c>
      <c r="B8" s="9" t="s">
        <v>508</v>
      </c>
      <c r="C8" s="9" t="s">
        <v>512</v>
      </c>
      <c r="D8" s="9" t="n">
        <v>2030</v>
      </c>
      <c r="E8" s="9" t="s">
        <v>200</v>
      </c>
      <c r="F8" s="9" t="n">
        <v>8333</v>
      </c>
      <c r="G8" s="9" t="n">
        <v>8333</v>
      </c>
      <c r="H8" s="15" t="n">
        <v>130480934</v>
      </c>
    </row>
    <row r="9" customFormat="false" ht="14.25" hidden="false" customHeight="false" outlineLevel="0" collapsed="false">
      <c r="A9" s="9" t="s">
        <v>513</v>
      </c>
      <c r="B9" s="9" t="s">
        <v>514</v>
      </c>
      <c r="C9" s="9" t="s">
        <v>515</v>
      </c>
      <c r="D9" s="9" t="n">
        <v>2030</v>
      </c>
      <c r="E9" s="9" t="s">
        <v>200</v>
      </c>
      <c r="F9" s="9" t="n">
        <v>3875</v>
      </c>
      <c r="G9" s="9" t="n">
        <v>3875</v>
      </c>
      <c r="H9" s="15" t="n">
        <v>126239558</v>
      </c>
    </row>
    <row r="10" customFormat="false" ht="14.25" hidden="false" customHeight="false" outlineLevel="0" collapsed="false">
      <c r="A10" s="9" t="s">
        <v>516</v>
      </c>
      <c r="B10" s="9" t="s">
        <v>517</v>
      </c>
      <c r="C10" s="9" t="s">
        <v>518</v>
      </c>
      <c r="D10" s="9" t="n">
        <v>2030</v>
      </c>
      <c r="E10" s="9" t="s">
        <v>200</v>
      </c>
      <c r="F10" s="9" t="n">
        <v>5350</v>
      </c>
      <c r="G10" s="9" t="n">
        <v>5350</v>
      </c>
      <c r="H10" s="15" t="n">
        <v>90578595</v>
      </c>
    </row>
    <row r="11" customFormat="false" ht="14.25" hidden="false" customHeight="false" outlineLevel="0" collapsed="false">
      <c r="A11" s="9" t="s">
        <v>162</v>
      </c>
      <c r="B11" s="9" t="s">
        <v>517</v>
      </c>
      <c r="C11" s="9" t="s">
        <v>506</v>
      </c>
      <c r="D11" s="9" t="n">
        <v>2030</v>
      </c>
      <c r="E11" s="9" t="s">
        <v>200</v>
      </c>
      <c r="F11" s="9" t="n">
        <v>667</v>
      </c>
      <c r="G11" s="9" t="n">
        <v>1375</v>
      </c>
      <c r="H11" s="15" t="n">
        <v>36041078</v>
      </c>
    </row>
    <row r="12" customFormat="false" ht="14.25" hidden="false" customHeight="false" outlineLevel="0" collapsed="false">
      <c r="A12" s="9" t="s">
        <v>163</v>
      </c>
      <c r="B12" s="9" t="s">
        <v>519</v>
      </c>
      <c r="C12" s="9" t="s">
        <v>520</v>
      </c>
      <c r="D12" s="9" t="n">
        <v>2030</v>
      </c>
      <c r="E12" s="9" t="s">
        <v>200</v>
      </c>
      <c r="F12" s="9" t="n">
        <v>1250</v>
      </c>
      <c r="G12" s="9" t="n">
        <v>1250</v>
      </c>
      <c r="H12" s="15" t="n">
        <v>87302599</v>
      </c>
    </row>
    <row r="13" customFormat="false" ht="14.25" hidden="false" customHeight="false" outlineLevel="0" collapsed="false">
      <c r="A13" s="9" t="s">
        <v>176</v>
      </c>
      <c r="B13" s="9" t="s">
        <v>519</v>
      </c>
      <c r="C13" s="9" t="s">
        <v>507</v>
      </c>
      <c r="D13" s="9" t="n">
        <v>2030</v>
      </c>
      <c r="E13" s="9" t="s">
        <v>200</v>
      </c>
      <c r="F13" s="9" t="n">
        <v>6500</v>
      </c>
      <c r="G13" s="9" t="n">
        <v>500</v>
      </c>
      <c r="H13" s="15" t="n">
        <v>91177200</v>
      </c>
    </row>
    <row r="14" customFormat="false" ht="14.25" hidden="false" customHeight="false" outlineLevel="0" collapsed="false">
      <c r="A14" s="9" t="s">
        <v>177</v>
      </c>
      <c r="B14" s="9" t="s">
        <v>521</v>
      </c>
      <c r="C14" s="9" t="s">
        <v>522</v>
      </c>
      <c r="D14" s="9" t="n">
        <v>2030</v>
      </c>
      <c r="E14" s="9" t="s">
        <v>200</v>
      </c>
      <c r="F14" s="9" t="n">
        <v>7900</v>
      </c>
      <c r="G14" s="9" t="n">
        <v>7900</v>
      </c>
      <c r="H14" s="15" t="n">
        <v>155205940</v>
      </c>
    </row>
    <row r="15" customFormat="false" ht="14.25" hidden="false" customHeight="false" outlineLevel="0" collapsed="false">
      <c r="A15" s="9" t="s">
        <v>523</v>
      </c>
      <c r="B15" s="9" t="s">
        <v>524</v>
      </c>
      <c r="C15" s="9" t="s">
        <v>525</v>
      </c>
      <c r="D15" s="9" t="n">
        <v>2030</v>
      </c>
      <c r="E15" s="9" t="s">
        <v>200</v>
      </c>
      <c r="F15" s="9" t="n">
        <v>4167</v>
      </c>
      <c r="G15" s="9" t="n">
        <v>0</v>
      </c>
      <c r="H15" s="15" t="n">
        <v>16719876</v>
      </c>
    </row>
    <row r="16" customFormat="false" ht="14.25" hidden="false" customHeight="false" outlineLevel="0" collapsed="false">
      <c r="A16" s="9" t="s">
        <v>165</v>
      </c>
      <c r="B16" s="9" t="s">
        <v>525</v>
      </c>
      <c r="C16" s="9" t="s">
        <v>526</v>
      </c>
      <c r="D16" s="9" t="n">
        <v>2030</v>
      </c>
      <c r="E16" s="9" t="s">
        <v>200</v>
      </c>
      <c r="F16" s="9" t="n">
        <v>10167</v>
      </c>
      <c r="G16" s="9" t="n">
        <v>10167</v>
      </c>
      <c r="H16" s="15" t="n">
        <v>196510435</v>
      </c>
    </row>
    <row r="17" customFormat="false" ht="14.25" hidden="false" customHeight="false" outlineLevel="0" collapsed="false">
      <c r="A17" s="9" t="s">
        <v>527</v>
      </c>
      <c r="B17" s="9" t="s">
        <v>509</v>
      </c>
      <c r="C17" s="9" t="s">
        <v>528</v>
      </c>
      <c r="D17" s="9" t="n">
        <v>2030</v>
      </c>
      <c r="E17" s="9" t="s">
        <v>200</v>
      </c>
      <c r="F17" s="9" t="n">
        <v>4167</v>
      </c>
      <c r="G17" s="9" t="n">
        <v>4167</v>
      </c>
      <c r="H17" s="15" t="n">
        <v>119078141</v>
      </c>
    </row>
    <row r="18" customFormat="false" ht="14.25" hidden="false" customHeight="false" outlineLevel="0" collapsed="false">
      <c r="A18" s="9" t="s">
        <v>529</v>
      </c>
      <c r="B18" s="9" t="s">
        <v>509</v>
      </c>
      <c r="C18" s="9" t="s">
        <v>522</v>
      </c>
      <c r="D18" s="9" t="n">
        <v>2030</v>
      </c>
      <c r="E18" s="9" t="s">
        <v>200</v>
      </c>
      <c r="F18" s="9" t="n">
        <v>1625</v>
      </c>
      <c r="G18" s="9" t="n">
        <v>2125</v>
      </c>
      <c r="H18" s="15" t="n">
        <v>244926033</v>
      </c>
    </row>
    <row r="19" customFormat="false" ht="14.25" hidden="false" customHeight="false" outlineLevel="0" collapsed="false">
      <c r="A19" s="9" t="s">
        <v>530</v>
      </c>
      <c r="B19" s="9" t="s">
        <v>522</v>
      </c>
      <c r="C19" s="9" t="s">
        <v>528</v>
      </c>
      <c r="D19" s="9" t="n">
        <v>2030</v>
      </c>
      <c r="E19" s="9" t="s">
        <v>200</v>
      </c>
      <c r="F19" s="9" t="n">
        <v>7000</v>
      </c>
      <c r="G19" s="9" t="n">
        <v>7000</v>
      </c>
      <c r="H19" s="15" t="n">
        <v>256894615</v>
      </c>
    </row>
    <row r="20" customFormat="false" ht="14.25" hidden="false" customHeight="false" outlineLevel="0" collapsed="false">
      <c r="A20" s="9" t="s">
        <v>170</v>
      </c>
      <c r="B20" s="9" t="s">
        <v>522</v>
      </c>
      <c r="C20" s="9" t="s">
        <v>511</v>
      </c>
      <c r="D20" s="9" t="n">
        <v>2030</v>
      </c>
      <c r="E20" s="9" t="s">
        <v>200</v>
      </c>
      <c r="F20" s="9" t="n">
        <v>15333</v>
      </c>
      <c r="G20" s="9" t="n">
        <v>208</v>
      </c>
      <c r="H20" s="15" t="n">
        <v>219081490</v>
      </c>
    </row>
    <row r="21" customFormat="false" ht="14.25" hidden="false" customHeight="false" outlineLevel="0" collapsed="false">
      <c r="A21" s="9" t="s">
        <v>175</v>
      </c>
      <c r="B21" s="9" t="s">
        <v>522</v>
      </c>
      <c r="C21" s="9" t="s">
        <v>520</v>
      </c>
      <c r="D21" s="9" t="n">
        <v>2030</v>
      </c>
      <c r="E21" s="9" t="s">
        <v>200</v>
      </c>
      <c r="F21" s="9" t="n">
        <v>833</v>
      </c>
      <c r="G21" s="9" t="n">
        <v>0</v>
      </c>
      <c r="H21" s="15" t="n">
        <v>109957944</v>
      </c>
    </row>
    <row r="22" customFormat="false" ht="14.25" hidden="false" customHeight="false" outlineLevel="0" collapsed="false">
      <c r="A22" s="9" t="s">
        <v>531</v>
      </c>
      <c r="B22" s="9" t="s">
        <v>518</v>
      </c>
      <c r="C22" s="9" t="s">
        <v>515</v>
      </c>
      <c r="D22" s="9" t="n">
        <v>2030</v>
      </c>
      <c r="E22" s="9" t="s">
        <v>200</v>
      </c>
      <c r="F22" s="9" t="n">
        <v>3200</v>
      </c>
      <c r="G22" s="9" t="n">
        <v>3200</v>
      </c>
      <c r="H22" s="15" t="n">
        <v>278575271</v>
      </c>
    </row>
    <row r="23" customFormat="false" ht="14.25" hidden="false" customHeight="false" outlineLevel="0" collapsed="false">
      <c r="A23" s="9" t="s">
        <v>532</v>
      </c>
      <c r="B23" s="9" t="s">
        <v>518</v>
      </c>
      <c r="C23" s="9" t="s">
        <v>506</v>
      </c>
      <c r="D23" s="9" t="n">
        <v>2030</v>
      </c>
      <c r="E23" s="9" t="s">
        <v>200</v>
      </c>
      <c r="F23" s="9" t="n">
        <v>817</v>
      </c>
      <c r="G23" s="9" t="n">
        <v>817</v>
      </c>
      <c r="H23" s="15" t="n">
        <v>114901246</v>
      </c>
    </row>
    <row r="24" customFormat="false" ht="14.25" hidden="false" customHeight="false" outlineLevel="0" collapsed="false">
      <c r="A24" s="9" t="s">
        <v>533</v>
      </c>
      <c r="B24" s="9" t="s">
        <v>518</v>
      </c>
      <c r="C24" s="9" t="s">
        <v>507</v>
      </c>
      <c r="D24" s="9" t="n">
        <v>2030</v>
      </c>
      <c r="E24" s="9" t="s">
        <v>200</v>
      </c>
      <c r="F24" s="9" t="n">
        <v>4167</v>
      </c>
      <c r="G24" s="9" t="n">
        <v>4167</v>
      </c>
      <c r="H24" s="15" t="n">
        <v>40984086</v>
      </c>
    </row>
    <row r="25" customFormat="false" ht="14.25" hidden="false" customHeight="false" outlineLevel="0" collapsed="false">
      <c r="A25" s="9" t="s">
        <v>168</v>
      </c>
      <c r="B25" s="9" t="s">
        <v>534</v>
      </c>
      <c r="C25" s="9" t="s">
        <v>512</v>
      </c>
      <c r="D25" s="9" t="n">
        <v>2030</v>
      </c>
      <c r="E25" s="9" t="s">
        <v>200</v>
      </c>
      <c r="F25" s="9" t="n">
        <v>331</v>
      </c>
      <c r="G25" s="9" t="n">
        <v>331</v>
      </c>
      <c r="H25" s="15" t="n">
        <v>56596432</v>
      </c>
    </row>
    <row r="26" customFormat="false" ht="14.25" hidden="false" customHeight="false" outlineLevel="0" collapsed="false">
      <c r="A26" s="9" t="s">
        <v>169</v>
      </c>
      <c r="B26" s="9" t="s">
        <v>505</v>
      </c>
      <c r="C26" s="9" t="s">
        <v>506</v>
      </c>
      <c r="D26" s="9" t="n">
        <v>2030</v>
      </c>
      <c r="E26" s="9" t="s">
        <v>200</v>
      </c>
      <c r="F26" s="9" t="n">
        <v>817</v>
      </c>
      <c r="G26" s="9" t="n">
        <v>817</v>
      </c>
      <c r="H26" s="15" t="n">
        <v>148162133</v>
      </c>
    </row>
    <row r="27" customFormat="false" ht="14.25" hidden="false" customHeight="false" outlineLevel="0" collapsed="false">
      <c r="A27" s="9" t="s">
        <v>178</v>
      </c>
      <c r="B27" s="9" t="s">
        <v>535</v>
      </c>
      <c r="C27" s="9" t="s">
        <v>536</v>
      </c>
      <c r="D27" s="9" t="n">
        <v>2030</v>
      </c>
      <c r="E27" s="9" t="s">
        <v>200</v>
      </c>
      <c r="F27" s="9" t="n">
        <v>3733</v>
      </c>
      <c r="G27" s="9" t="n">
        <v>0</v>
      </c>
      <c r="H27" s="15" t="n">
        <v>132210515</v>
      </c>
    </row>
    <row r="28" customFormat="false" ht="14.25" hidden="false" customHeight="false" outlineLevel="0" collapsed="false">
      <c r="A28" s="9" t="s">
        <v>179</v>
      </c>
      <c r="B28" s="9" t="s">
        <v>520</v>
      </c>
      <c r="C28" s="9" t="s">
        <v>535</v>
      </c>
      <c r="D28" s="9" t="n">
        <v>2030</v>
      </c>
      <c r="E28" s="9" t="s">
        <v>200</v>
      </c>
      <c r="F28" s="9" t="n">
        <v>2980</v>
      </c>
      <c r="G28" s="9" t="n">
        <v>0</v>
      </c>
      <c r="H28" s="15" t="n">
        <v>158312618</v>
      </c>
    </row>
    <row r="29" customFormat="false" ht="14.25" hidden="false" customHeight="false" outlineLevel="0" collapsed="false">
      <c r="A29" s="9" t="s">
        <v>180</v>
      </c>
      <c r="B29" s="9" t="s">
        <v>537</v>
      </c>
      <c r="C29" s="9" t="s">
        <v>505</v>
      </c>
      <c r="D29" s="9" t="n">
        <v>2040</v>
      </c>
      <c r="E29" s="9" t="s">
        <v>200</v>
      </c>
      <c r="F29" s="9" t="n">
        <v>13333</v>
      </c>
      <c r="G29" s="9" t="n">
        <v>0</v>
      </c>
      <c r="H29" s="15" t="n">
        <v>1739771889</v>
      </c>
    </row>
    <row r="30" customFormat="false" ht="14.25" hidden="false" customHeight="false" outlineLevel="0" collapsed="false">
      <c r="A30" s="9" t="s">
        <v>538</v>
      </c>
      <c r="B30" s="9" t="s">
        <v>508</v>
      </c>
      <c r="C30" s="9" t="s">
        <v>522</v>
      </c>
      <c r="D30" s="9" t="n">
        <v>2040</v>
      </c>
      <c r="E30" s="9" t="s">
        <v>200</v>
      </c>
      <c r="F30" s="9" t="n">
        <v>1208</v>
      </c>
      <c r="G30" s="9" t="n">
        <v>1208</v>
      </c>
      <c r="H30" s="15" t="n">
        <v>53724149</v>
      </c>
    </row>
    <row r="31" customFormat="false" ht="14.25" hidden="false" customHeight="false" outlineLevel="0" collapsed="false">
      <c r="A31" s="9" t="s">
        <v>181</v>
      </c>
      <c r="B31" s="9" t="s">
        <v>508</v>
      </c>
      <c r="C31" s="9" t="s">
        <v>510</v>
      </c>
      <c r="D31" s="9" t="n">
        <v>2040</v>
      </c>
      <c r="E31" s="9" t="s">
        <v>200</v>
      </c>
      <c r="F31" s="9" t="n">
        <v>250</v>
      </c>
      <c r="G31" s="9" t="n">
        <v>250</v>
      </c>
      <c r="H31" s="15" t="n">
        <v>21589167</v>
      </c>
    </row>
    <row r="32" customFormat="false" ht="14.25" hidden="false" customHeight="false" outlineLevel="0" collapsed="false">
      <c r="A32" s="9" t="s">
        <v>539</v>
      </c>
      <c r="B32" s="9" t="s">
        <v>508</v>
      </c>
      <c r="C32" s="9" t="s">
        <v>511</v>
      </c>
      <c r="D32" s="9" t="n">
        <v>2040</v>
      </c>
      <c r="E32" s="9" t="s">
        <v>200</v>
      </c>
      <c r="F32" s="9" t="n">
        <v>2000</v>
      </c>
      <c r="G32" s="9" t="n">
        <v>2000</v>
      </c>
      <c r="H32" s="15" t="n">
        <v>46771663</v>
      </c>
    </row>
    <row r="33" customFormat="false" ht="14.25" hidden="false" customHeight="false" outlineLevel="0" collapsed="false">
      <c r="A33" s="9" t="s">
        <v>182</v>
      </c>
      <c r="B33" s="9" t="s">
        <v>514</v>
      </c>
      <c r="C33" s="9" t="s">
        <v>540</v>
      </c>
      <c r="D33" s="9" t="n">
        <v>2040</v>
      </c>
      <c r="E33" s="9" t="s">
        <v>200</v>
      </c>
      <c r="F33" s="9" t="n">
        <v>335</v>
      </c>
      <c r="G33" s="9" t="n">
        <v>521</v>
      </c>
      <c r="H33" s="15" t="n">
        <v>99186800</v>
      </c>
    </row>
    <row r="34" customFormat="false" ht="14.25" hidden="false" customHeight="false" outlineLevel="0" collapsed="false">
      <c r="A34" s="9" t="s">
        <v>541</v>
      </c>
      <c r="B34" s="9" t="s">
        <v>514</v>
      </c>
      <c r="C34" s="9" t="s">
        <v>515</v>
      </c>
      <c r="D34" s="9" t="n">
        <v>2040</v>
      </c>
      <c r="E34" s="9" t="s">
        <v>200</v>
      </c>
      <c r="F34" s="9" t="n">
        <v>1196</v>
      </c>
      <c r="G34" s="9" t="n">
        <v>1196</v>
      </c>
      <c r="H34" s="15" t="n">
        <v>106676144</v>
      </c>
    </row>
    <row r="35" customFormat="false" ht="14.25" hidden="false" customHeight="false" outlineLevel="0" collapsed="false">
      <c r="A35" s="9" t="s">
        <v>173</v>
      </c>
      <c r="B35" s="9" t="s">
        <v>519</v>
      </c>
      <c r="C35" s="9" t="s">
        <v>522</v>
      </c>
      <c r="D35" s="9" t="n">
        <v>2040</v>
      </c>
      <c r="E35" s="9" t="s">
        <v>200</v>
      </c>
      <c r="F35" s="9" t="n">
        <v>7300</v>
      </c>
      <c r="G35" s="9" t="n">
        <v>7300</v>
      </c>
      <c r="H35" s="15" t="n">
        <v>100017637</v>
      </c>
    </row>
    <row r="36" customFormat="false" ht="14.25" hidden="false" customHeight="false" outlineLevel="0" collapsed="false">
      <c r="A36" s="9" t="s">
        <v>503</v>
      </c>
      <c r="B36" s="9" t="s">
        <v>522</v>
      </c>
      <c r="C36" s="9" t="s">
        <v>528</v>
      </c>
      <c r="D36" s="9" t="n">
        <v>2040</v>
      </c>
      <c r="E36" s="9" t="s">
        <v>200</v>
      </c>
      <c r="F36" s="9" t="n">
        <v>3000</v>
      </c>
      <c r="G36" s="9" t="n">
        <v>3000</v>
      </c>
      <c r="H36" s="15" t="n">
        <v>304150990</v>
      </c>
    </row>
    <row r="37" customFormat="false" ht="14.25" hidden="false" customHeight="false" outlineLevel="0" collapsed="false">
      <c r="A37" s="9" t="s">
        <v>156</v>
      </c>
      <c r="B37" s="9" t="s">
        <v>522</v>
      </c>
      <c r="C37" s="9" t="s">
        <v>511</v>
      </c>
      <c r="D37" s="9" t="n">
        <v>2040</v>
      </c>
      <c r="E37" s="9" t="s">
        <v>200</v>
      </c>
      <c r="F37" s="9" t="n">
        <v>7467</v>
      </c>
      <c r="G37" s="9" t="n">
        <v>7458</v>
      </c>
      <c r="H37" s="15" t="n">
        <v>106690242</v>
      </c>
    </row>
    <row r="38" customFormat="false" ht="14.25" hidden="false" customHeight="false" outlineLevel="0" collapsed="false">
      <c r="A38" s="9" t="s">
        <v>157</v>
      </c>
      <c r="B38" s="9" t="s">
        <v>522</v>
      </c>
      <c r="C38" s="9" t="s">
        <v>520</v>
      </c>
      <c r="D38" s="9" t="n">
        <v>2040</v>
      </c>
      <c r="E38" s="9" t="s">
        <v>200</v>
      </c>
      <c r="F38" s="9" t="n">
        <v>4464</v>
      </c>
      <c r="G38" s="9" t="n">
        <v>1131</v>
      </c>
      <c r="H38" s="15" t="n">
        <v>77908063</v>
      </c>
    </row>
    <row r="39" customFormat="false" ht="14.25" hidden="false" customHeight="false" outlineLevel="0" collapsed="false">
      <c r="A39" s="9" t="s">
        <v>158</v>
      </c>
      <c r="B39" s="9" t="s">
        <v>534</v>
      </c>
      <c r="C39" s="9" t="s">
        <v>512</v>
      </c>
      <c r="D39" s="9" t="n">
        <v>2040</v>
      </c>
      <c r="E39" s="9" t="s">
        <v>200</v>
      </c>
      <c r="F39" s="9" t="n">
        <v>858</v>
      </c>
      <c r="G39" s="9" t="n">
        <v>858</v>
      </c>
      <c r="H39" s="15" t="n">
        <v>146706160</v>
      </c>
    </row>
    <row r="40" customFormat="false" ht="14.25" hidden="false" customHeight="false" outlineLevel="0" collapsed="false">
      <c r="A40" s="9" t="s">
        <v>159</v>
      </c>
      <c r="B40" s="9" t="s">
        <v>536</v>
      </c>
      <c r="C40" s="9" t="s">
        <v>524</v>
      </c>
      <c r="D40" s="9" t="n">
        <v>2040</v>
      </c>
      <c r="E40" s="9" t="s">
        <v>200</v>
      </c>
      <c r="F40" s="9" t="n">
        <v>1115</v>
      </c>
      <c r="G40" s="9" t="n">
        <v>0</v>
      </c>
      <c r="H40" s="15" t="n">
        <v>484189493</v>
      </c>
    </row>
    <row r="41" customFormat="false" ht="14.25" hidden="false" customHeight="false" outlineLevel="0" collapsed="false">
      <c r="A41" s="9"/>
      <c r="B41" s="9"/>
      <c r="C41" s="9"/>
      <c r="D41" s="9"/>
      <c r="E41" s="9"/>
      <c r="F41" s="9"/>
      <c r="G41" s="9"/>
      <c r="H41" s="9"/>
    </row>
    <row r="42" customFormat="false" ht="14.25" hidden="false" customHeight="false" outlineLevel="0" collapsed="false">
      <c r="A42" s="9"/>
      <c r="B42" s="9"/>
      <c r="C42" s="9"/>
      <c r="D42" s="9"/>
      <c r="E42" s="9"/>
      <c r="F42" s="9"/>
      <c r="G42" s="9"/>
      <c r="H42" s="9"/>
    </row>
    <row r="43" customFormat="false" ht="14.25" hidden="false" customHeight="false" outlineLevel="0" collapsed="false">
      <c r="A43" s="9"/>
      <c r="B43" s="9"/>
      <c r="C43" s="9"/>
      <c r="D43" s="9"/>
      <c r="E43" s="9"/>
      <c r="F43" s="9"/>
      <c r="G43" s="9"/>
      <c r="H43" s="9"/>
    </row>
    <row r="44" customFormat="false" ht="14.25" hidden="false" customHeight="false" outlineLevel="0" collapsed="false">
      <c r="A44" s="9"/>
      <c r="B44" s="9"/>
      <c r="C44" s="9"/>
      <c r="D44" s="9"/>
      <c r="E44" s="9"/>
      <c r="F44" s="9"/>
      <c r="G44" s="9"/>
      <c r="H44" s="9"/>
    </row>
    <row r="45" customFormat="false" ht="14.25" hidden="false" customHeight="false" outlineLevel="0" collapsed="false">
      <c r="A45" s="9"/>
      <c r="B45" s="9"/>
      <c r="C45" s="9"/>
      <c r="D45" s="9"/>
      <c r="E45" s="9"/>
      <c r="F45" s="9"/>
      <c r="G45" s="9"/>
      <c r="H45" s="9"/>
    </row>
    <row r="46" customFormat="false" ht="14.25" hidden="false" customHeight="false" outlineLevel="0" collapsed="false">
      <c r="A46" s="9"/>
      <c r="B46" s="9"/>
      <c r="C46" s="9"/>
      <c r="D46" s="9"/>
      <c r="E46" s="9"/>
      <c r="F46" s="9"/>
      <c r="G46" s="9"/>
      <c r="H46" s="9"/>
    </row>
    <row r="47" customFormat="false" ht="14.25" hidden="false" customHeight="false" outlineLevel="0" collapsed="false">
      <c r="A47" s="9"/>
      <c r="B47" s="9"/>
      <c r="C47" s="9"/>
      <c r="D47" s="9"/>
      <c r="E47" s="9"/>
      <c r="F47" s="9"/>
      <c r="G47" s="9"/>
      <c r="H47" s="9"/>
    </row>
    <row r="48" customFormat="false" ht="14.25" hidden="false" customHeight="false" outlineLevel="0" collapsed="false">
      <c r="A48" s="9"/>
      <c r="B48" s="9"/>
      <c r="C48" s="9"/>
      <c r="D48" s="9"/>
      <c r="E48" s="9"/>
      <c r="F48" s="9"/>
      <c r="G48" s="9"/>
      <c r="H48" s="9"/>
    </row>
    <row r="49" customFormat="false" ht="14.25" hidden="false" customHeight="false" outlineLevel="0" collapsed="false">
      <c r="A49" s="9"/>
      <c r="B49" s="9"/>
      <c r="C49" s="9"/>
      <c r="D49" s="9"/>
      <c r="E49" s="9"/>
      <c r="F49" s="9"/>
      <c r="G49" s="9"/>
      <c r="H49" s="9"/>
    </row>
    <row r="50" customFormat="false" ht="14.25" hidden="false" customHeight="false" outlineLevel="0" collapsed="false">
      <c r="A50" s="9"/>
      <c r="B50" s="9"/>
      <c r="C50" s="9"/>
      <c r="D50" s="9"/>
      <c r="E50" s="9"/>
      <c r="F50" s="9"/>
      <c r="G50" s="9"/>
      <c r="H50" s="9"/>
    </row>
    <row r="51" customFormat="false" ht="14.25" hidden="false" customHeight="false" outlineLevel="0" collapsed="false">
      <c r="A51" s="9"/>
      <c r="B51" s="9"/>
      <c r="C51" s="9"/>
      <c r="D51" s="9"/>
      <c r="E51" s="9"/>
      <c r="F51" s="9"/>
      <c r="G51" s="9"/>
      <c r="H51" s="9"/>
    </row>
    <row r="52" customFormat="false" ht="14.25" hidden="false" customHeight="false" outlineLevel="0" collapsed="false">
      <c r="A52" s="9"/>
      <c r="B52" s="9"/>
      <c r="C52" s="9"/>
      <c r="D52" s="9"/>
      <c r="E52" s="9"/>
      <c r="F52" s="9"/>
      <c r="G52" s="9"/>
      <c r="H52" s="9"/>
    </row>
    <row r="53" customFormat="false" ht="14.25" hidden="false" customHeight="false" outlineLevel="0" collapsed="false">
      <c r="A53" s="9"/>
      <c r="B53" s="9"/>
      <c r="C53" s="9"/>
      <c r="D53" s="9"/>
      <c r="E53" s="9"/>
      <c r="F53" s="9"/>
      <c r="G53" s="9"/>
      <c r="H53" s="9"/>
    </row>
    <row r="54" customFormat="false" ht="14.25" hidden="false" customHeight="false" outlineLevel="0" collapsed="false">
      <c r="A54" s="9"/>
      <c r="B54" s="9"/>
      <c r="C54" s="9"/>
      <c r="D54" s="9"/>
      <c r="E54" s="9"/>
      <c r="F54" s="9"/>
      <c r="G54" s="9"/>
      <c r="H54" s="9"/>
    </row>
    <row r="55" customFormat="false" ht="14.25" hidden="false" customHeight="false" outlineLevel="0" collapsed="false">
      <c r="A55" s="9"/>
      <c r="B55" s="9"/>
      <c r="C55" s="9"/>
      <c r="D55" s="9"/>
      <c r="E55" s="9"/>
      <c r="F55" s="9"/>
      <c r="G55" s="9"/>
      <c r="H55" s="9"/>
    </row>
    <row r="56" customFormat="false" ht="14.25" hidden="false" customHeight="false" outlineLevel="0" collapsed="false">
      <c r="A56" s="9"/>
      <c r="B56" s="9"/>
      <c r="C56" s="9"/>
      <c r="D56" s="9"/>
      <c r="E56" s="9"/>
      <c r="F56" s="9"/>
      <c r="G56" s="9"/>
      <c r="H56" s="9"/>
    </row>
    <row r="57" customFormat="false" ht="14.25" hidden="false" customHeight="false" outlineLevel="0" collapsed="false">
      <c r="A57" s="9"/>
      <c r="B57" s="9"/>
      <c r="C57" s="9"/>
      <c r="D57" s="9"/>
      <c r="E57" s="9"/>
      <c r="F57" s="9"/>
      <c r="G57" s="9"/>
      <c r="H57" s="9"/>
    </row>
    <row r="58" customFormat="false" ht="14.25" hidden="false" customHeight="false" outlineLevel="0" collapsed="false">
      <c r="A58" s="9"/>
      <c r="B58" s="9"/>
      <c r="C58" s="9"/>
      <c r="D58" s="9"/>
      <c r="E58" s="9"/>
      <c r="F58" s="9"/>
      <c r="G58" s="9"/>
      <c r="H58" s="9"/>
    </row>
    <row r="59" customFormat="false" ht="14.25" hidden="false" customHeight="false" outlineLevel="0" collapsed="false">
      <c r="A59" s="9"/>
      <c r="B59" s="9"/>
      <c r="C59" s="9"/>
      <c r="D59" s="9"/>
      <c r="E59" s="9"/>
      <c r="F59" s="9"/>
      <c r="G59" s="9"/>
      <c r="H59" s="9"/>
    </row>
    <row r="60" customFormat="false" ht="14.25" hidden="false" customHeight="false" outlineLevel="0" collapsed="false">
      <c r="A60" s="9"/>
      <c r="B60" s="9"/>
      <c r="C60" s="9"/>
      <c r="D60" s="9"/>
      <c r="E60" s="9"/>
      <c r="F60" s="9"/>
      <c r="G60" s="9"/>
      <c r="H60" s="9"/>
    </row>
    <row r="61" customFormat="false" ht="14.25" hidden="false" customHeight="false" outlineLevel="0" collapsed="false">
      <c r="A61" s="9"/>
      <c r="B61" s="9"/>
      <c r="C61" s="9"/>
      <c r="D61" s="9"/>
      <c r="E61" s="9"/>
      <c r="F61" s="9"/>
      <c r="G61" s="9"/>
      <c r="H61" s="9"/>
    </row>
    <row r="62" customFormat="false" ht="14.25" hidden="false" customHeight="false" outlineLevel="0" collapsed="false">
      <c r="A62" s="9"/>
      <c r="B62" s="9"/>
      <c r="C62" s="9"/>
      <c r="D62" s="9"/>
      <c r="E62" s="9"/>
      <c r="F62" s="9"/>
      <c r="G62" s="9"/>
      <c r="H62" s="9"/>
    </row>
    <row r="63" customFormat="false" ht="14.25" hidden="false" customHeight="false" outlineLevel="0" collapsed="false">
      <c r="A63" s="9"/>
      <c r="B63" s="9"/>
      <c r="C63" s="9"/>
      <c r="D63" s="9"/>
      <c r="E63" s="9"/>
      <c r="F63" s="9"/>
      <c r="G63" s="9"/>
      <c r="H63" s="9"/>
    </row>
    <row r="64" customFormat="false" ht="14.25" hidden="false" customHeight="false" outlineLevel="0" collapsed="false">
      <c r="A64" s="9"/>
      <c r="B64" s="9"/>
      <c r="C64" s="9"/>
      <c r="D64" s="9"/>
      <c r="E64" s="9"/>
      <c r="F64" s="9"/>
      <c r="G64" s="9"/>
      <c r="H64" s="9"/>
    </row>
    <row r="65" customFormat="false" ht="14.25" hidden="false" customHeight="false" outlineLevel="0" collapsed="false">
      <c r="A65" s="9"/>
      <c r="B65" s="9"/>
      <c r="C65" s="9"/>
      <c r="D65" s="9"/>
      <c r="E65" s="9"/>
      <c r="F65" s="9"/>
      <c r="G65" s="9"/>
      <c r="H65" s="9"/>
    </row>
    <row r="66" customFormat="false" ht="14.25" hidden="false" customHeight="false" outlineLevel="0" collapsed="false">
      <c r="A66" s="9"/>
      <c r="B66" s="9"/>
      <c r="C66" s="9"/>
      <c r="D66" s="9"/>
      <c r="E66" s="9"/>
      <c r="F66" s="9"/>
      <c r="G66" s="9"/>
      <c r="H66" s="9"/>
    </row>
    <row r="67" customFormat="false" ht="14.25" hidden="false" customHeight="false" outlineLevel="0" collapsed="false">
      <c r="A67" s="9"/>
      <c r="B67" s="9"/>
      <c r="C67" s="9"/>
      <c r="D67" s="9"/>
      <c r="E67" s="9"/>
      <c r="F67" s="9"/>
      <c r="G67" s="9"/>
      <c r="H67" s="9"/>
    </row>
    <row r="68" customFormat="false" ht="14.25" hidden="false" customHeight="false" outlineLevel="0" collapsed="false">
      <c r="A68" s="9"/>
      <c r="B68" s="9"/>
      <c r="C68" s="9"/>
      <c r="D68" s="9"/>
      <c r="E68" s="9"/>
      <c r="F68" s="9"/>
      <c r="G68" s="9"/>
      <c r="H68" s="9"/>
    </row>
    <row r="69" customFormat="false" ht="14.25" hidden="false" customHeight="false" outlineLevel="0" collapsed="false">
      <c r="A69" s="9"/>
      <c r="B69" s="9"/>
      <c r="C69" s="9"/>
      <c r="D69" s="9"/>
      <c r="E69" s="9"/>
      <c r="F69" s="9"/>
      <c r="G69" s="9"/>
      <c r="H69" s="9"/>
    </row>
    <row r="70" customFormat="false" ht="14.25" hidden="false" customHeight="false" outlineLevel="0" collapsed="false">
      <c r="A70" s="9"/>
      <c r="B70" s="9"/>
      <c r="C70" s="9"/>
      <c r="D70" s="9"/>
      <c r="E70" s="9"/>
      <c r="F70" s="9"/>
      <c r="G70" s="9"/>
      <c r="H70" s="9"/>
    </row>
    <row r="71" customFormat="false" ht="14.25" hidden="false" customHeight="false" outlineLevel="0" collapsed="false">
      <c r="A71" s="9"/>
      <c r="B71" s="9"/>
      <c r="C71" s="9"/>
      <c r="D71" s="9"/>
      <c r="E71" s="9"/>
      <c r="F71" s="9"/>
      <c r="G71" s="9"/>
      <c r="H71" s="9"/>
    </row>
    <row r="72" customFormat="false" ht="14.25" hidden="false" customHeight="false" outlineLevel="0" collapsed="false">
      <c r="A72" s="9"/>
      <c r="B72" s="9"/>
      <c r="C72" s="9"/>
      <c r="D72" s="9"/>
      <c r="E72" s="9"/>
      <c r="F72" s="9"/>
      <c r="G72" s="9"/>
      <c r="H72" s="9"/>
    </row>
    <row r="73" customFormat="false" ht="14.25" hidden="false" customHeight="false" outlineLevel="0" collapsed="false">
      <c r="A73" s="9"/>
      <c r="B73" s="9"/>
      <c r="C73" s="9"/>
      <c r="D73" s="9"/>
      <c r="E73" s="9"/>
      <c r="F73" s="9"/>
      <c r="G73" s="9"/>
      <c r="H73" s="9"/>
    </row>
    <row r="74" customFormat="false" ht="14.25" hidden="false" customHeight="false" outlineLevel="0" collapsed="false">
      <c r="A74" s="9"/>
      <c r="B74" s="9"/>
      <c r="C74" s="9"/>
      <c r="D74" s="9"/>
      <c r="E74" s="9"/>
      <c r="F74" s="9"/>
      <c r="G74" s="9"/>
      <c r="H74" s="9"/>
    </row>
    <row r="75" customFormat="false" ht="14.25" hidden="false" customHeight="false" outlineLevel="0" collapsed="false">
      <c r="A75" s="9"/>
      <c r="B75" s="9"/>
      <c r="C75" s="9"/>
      <c r="D75" s="9"/>
      <c r="E75" s="9"/>
      <c r="F75" s="9"/>
      <c r="G75" s="9"/>
      <c r="H75" s="9"/>
    </row>
    <row r="76" customFormat="false" ht="14.25" hidden="false" customHeight="false" outlineLevel="0" collapsed="false">
      <c r="A76" s="9"/>
      <c r="B76" s="9"/>
      <c r="C76" s="9"/>
      <c r="D76" s="9"/>
      <c r="E76" s="9"/>
      <c r="F76" s="9"/>
      <c r="G76" s="9"/>
      <c r="H76" s="9"/>
    </row>
    <row r="77" customFormat="false" ht="14.25" hidden="false" customHeight="false" outlineLevel="0" collapsed="false">
      <c r="A77" s="9"/>
      <c r="B77" s="9"/>
      <c r="C77" s="9"/>
      <c r="D77" s="9"/>
      <c r="E77" s="9"/>
      <c r="F77" s="9"/>
      <c r="G77" s="9"/>
      <c r="H77" s="9"/>
    </row>
    <row r="78" customFormat="false" ht="14.25" hidden="false" customHeight="false" outlineLevel="0" collapsed="false">
      <c r="A78" s="9"/>
      <c r="B78" s="9"/>
      <c r="C78" s="9"/>
      <c r="D78" s="9"/>
      <c r="E78" s="9"/>
      <c r="F78" s="9"/>
      <c r="G78" s="9"/>
      <c r="H78" s="9"/>
    </row>
    <row r="79" customFormat="false" ht="14.25" hidden="false" customHeight="false" outlineLevel="0" collapsed="false">
      <c r="A79" s="9"/>
      <c r="B79" s="9"/>
      <c r="C79" s="9"/>
      <c r="D79" s="9"/>
      <c r="E79" s="9"/>
      <c r="F79" s="9"/>
      <c r="G79" s="9"/>
      <c r="H79" s="9"/>
    </row>
    <row r="80" customFormat="false" ht="14.25" hidden="false" customHeight="false" outlineLevel="0" collapsed="false">
      <c r="A80" s="9"/>
      <c r="B80" s="9"/>
      <c r="C80" s="9"/>
      <c r="D80" s="9"/>
      <c r="E80" s="9"/>
      <c r="F80" s="9"/>
      <c r="G80" s="9"/>
      <c r="H80" s="9"/>
    </row>
    <row r="81" customFormat="false" ht="14.25" hidden="false" customHeight="false" outlineLevel="0" collapsed="false">
      <c r="A81" s="9"/>
      <c r="B81" s="9"/>
      <c r="C81" s="9"/>
      <c r="D81" s="9"/>
      <c r="E81" s="9"/>
      <c r="F81" s="9"/>
      <c r="G81" s="9"/>
      <c r="H81" s="9"/>
    </row>
    <row r="82" customFormat="false" ht="14.25" hidden="false" customHeight="false" outlineLevel="0" collapsed="false">
      <c r="A82" s="9"/>
      <c r="B82" s="9"/>
      <c r="C82" s="9"/>
      <c r="D82" s="9"/>
      <c r="E82" s="9"/>
      <c r="F82" s="9"/>
      <c r="G82" s="9"/>
      <c r="H82" s="9"/>
    </row>
    <row r="83" customFormat="false" ht="14.25" hidden="false" customHeight="false" outlineLevel="0" collapsed="false">
      <c r="A83" s="9"/>
      <c r="B83" s="9"/>
      <c r="C83" s="9"/>
      <c r="D83" s="9"/>
      <c r="E83" s="9"/>
      <c r="F83" s="9"/>
      <c r="G83" s="9"/>
      <c r="H83" s="9"/>
    </row>
    <row r="84" customFormat="false" ht="14.25" hidden="false" customHeight="false" outlineLevel="0" collapsed="false">
      <c r="A84" s="9"/>
      <c r="B84" s="9"/>
      <c r="C84" s="9"/>
      <c r="D84" s="9"/>
      <c r="E84" s="9"/>
      <c r="F84" s="9"/>
      <c r="G84" s="9"/>
      <c r="H84" s="9"/>
    </row>
    <row r="85" customFormat="false" ht="14.25" hidden="false" customHeight="false" outlineLevel="0" collapsed="false">
      <c r="A85" s="9"/>
      <c r="B85" s="9"/>
      <c r="C85" s="9"/>
      <c r="D85" s="9"/>
      <c r="E85" s="9"/>
      <c r="F85" s="9"/>
      <c r="G85" s="9"/>
      <c r="H85" s="9"/>
    </row>
    <row r="86" customFormat="false" ht="14.25" hidden="false" customHeight="false" outlineLevel="0" collapsed="false">
      <c r="A86" s="9"/>
      <c r="B86" s="9"/>
      <c r="C86" s="9"/>
      <c r="D86" s="9"/>
      <c r="E86" s="9"/>
      <c r="F86" s="9"/>
      <c r="G86" s="9"/>
      <c r="H86" s="9"/>
    </row>
    <row r="87" customFormat="false" ht="14.25" hidden="false" customHeight="false" outlineLevel="0" collapsed="false">
      <c r="A87" s="9"/>
      <c r="B87" s="9"/>
      <c r="C87" s="9"/>
      <c r="D87" s="9"/>
      <c r="E87" s="9"/>
      <c r="F87" s="9"/>
      <c r="G87" s="9"/>
      <c r="H87" s="9"/>
    </row>
    <row r="88" customFormat="false" ht="14.25" hidden="false" customHeight="false" outlineLevel="0" collapsed="false">
      <c r="A88" s="9"/>
      <c r="B88" s="9"/>
      <c r="C88" s="9"/>
      <c r="D88" s="9"/>
      <c r="E88" s="9"/>
      <c r="F88" s="9"/>
      <c r="G88" s="9"/>
      <c r="H88" s="9"/>
    </row>
    <row r="89" customFormat="false" ht="14.25" hidden="false" customHeight="false" outlineLevel="0" collapsed="false">
      <c r="A89" s="9"/>
      <c r="B89" s="9"/>
      <c r="C89" s="9"/>
      <c r="D89" s="9"/>
      <c r="E89" s="9"/>
      <c r="F89" s="9"/>
      <c r="G89" s="9"/>
      <c r="H89" s="9"/>
    </row>
    <row r="90" customFormat="false" ht="14.25" hidden="false" customHeight="false" outlineLevel="0" collapsed="false">
      <c r="A90" s="9"/>
      <c r="B90" s="9"/>
      <c r="C90" s="9"/>
      <c r="D90" s="9"/>
      <c r="E90" s="9"/>
      <c r="F90" s="9"/>
      <c r="G90" s="9"/>
      <c r="H90" s="9"/>
    </row>
    <row r="91" customFormat="false" ht="14.25" hidden="false" customHeight="false" outlineLevel="0" collapsed="false">
      <c r="A91" s="9"/>
      <c r="B91" s="9"/>
      <c r="C91" s="9"/>
      <c r="D91" s="9"/>
      <c r="E91" s="9"/>
      <c r="F91" s="9"/>
      <c r="G91" s="9"/>
      <c r="H91" s="9"/>
    </row>
    <row r="92" customFormat="false" ht="14.25" hidden="false" customHeight="false" outlineLevel="0" collapsed="false">
      <c r="A92" s="9"/>
      <c r="B92" s="9"/>
      <c r="C92" s="9"/>
      <c r="D92" s="9"/>
      <c r="E92" s="9"/>
      <c r="F92" s="9"/>
      <c r="G92" s="9"/>
      <c r="H92" s="9"/>
    </row>
    <row r="93" customFormat="false" ht="14.25" hidden="false" customHeight="false" outlineLevel="0" collapsed="false">
      <c r="A93" s="9"/>
      <c r="B93" s="9"/>
      <c r="C93" s="9"/>
      <c r="D93" s="9"/>
      <c r="E93" s="9"/>
      <c r="F93" s="9"/>
      <c r="G93" s="9"/>
      <c r="H93" s="9"/>
    </row>
    <row r="94" customFormat="false" ht="14.25" hidden="false" customHeight="false" outlineLevel="0" collapsed="false">
      <c r="A94" s="9"/>
      <c r="B94" s="9"/>
      <c r="C94" s="9"/>
      <c r="D94" s="9"/>
      <c r="E94" s="9"/>
      <c r="F94" s="9"/>
      <c r="G94" s="9"/>
      <c r="H94" s="9"/>
    </row>
    <row r="95" customFormat="false" ht="14.25" hidden="false" customHeight="false" outlineLevel="0" collapsed="false">
      <c r="A95" s="9"/>
      <c r="B95" s="9"/>
      <c r="C95" s="9"/>
      <c r="D95" s="9"/>
      <c r="E95" s="9"/>
      <c r="F95" s="9"/>
      <c r="G95" s="9"/>
      <c r="H95" s="9"/>
    </row>
    <row r="96" customFormat="false" ht="14.25" hidden="false" customHeight="false" outlineLevel="0" collapsed="false">
      <c r="A96" s="9"/>
      <c r="B96" s="9"/>
      <c r="C96" s="9"/>
      <c r="D96" s="9"/>
      <c r="E96" s="9"/>
      <c r="F96" s="9"/>
      <c r="G96" s="9"/>
      <c r="H96" s="9"/>
    </row>
    <row r="97" customFormat="false" ht="14.25" hidden="false" customHeight="false" outlineLevel="0" collapsed="false">
      <c r="A97" s="9"/>
      <c r="B97" s="9"/>
      <c r="C97" s="9"/>
      <c r="D97" s="9"/>
      <c r="E97" s="9"/>
      <c r="F97" s="9"/>
      <c r="G97" s="9"/>
      <c r="H97" s="9"/>
    </row>
    <row r="98" customFormat="false" ht="14.25" hidden="false" customHeight="false" outlineLevel="0" collapsed="false">
      <c r="A98" s="9"/>
      <c r="B98" s="9"/>
      <c r="C98" s="9"/>
      <c r="D98" s="9"/>
      <c r="E98" s="9"/>
      <c r="F98" s="9"/>
      <c r="G98" s="9"/>
      <c r="H98" s="9"/>
    </row>
    <row r="99" customFormat="false" ht="14.25" hidden="false" customHeight="false" outlineLevel="0" collapsed="false">
      <c r="A99" s="9"/>
      <c r="B99" s="9"/>
      <c r="C99" s="9"/>
      <c r="D99" s="9"/>
      <c r="E99" s="9"/>
      <c r="F99" s="9"/>
      <c r="G99" s="9"/>
      <c r="H99" s="9"/>
    </row>
    <row r="100" customFormat="false" ht="14.25" hidden="false" customHeight="false" outlineLevel="0" collapsed="false">
      <c r="A100" s="9"/>
      <c r="B100" s="9"/>
      <c r="C100" s="9"/>
      <c r="D100" s="9"/>
      <c r="E100" s="9"/>
      <c r="F100" s="9"/>
      <c r="G100" s="9"/>
      <c r="H100" s="9"/>
    </row>
    <row r="101" customFormat="false" ht="14.25" hidden="false" customHeight="false" outlineLevel="0" collapsed="false">
      <c r="A101" s="9"/>
      <c r="B101" s="9"/>
      <c r="C101" s="9"/>
      <c r="D101" s="9"/>
      <c r="E101" s="9"/>
      <c r="F101" s="9"/>
      <c r="G101" s="9"/>
      <c r="H101" s="9"/>
    </row>
    <row r="102" customFormat="false" ht="14.25" hidden="false" customHeight="false" outlineLevel="0" collapsed="false">
      <c r="A102" s="9"/>
      <c r="B102" s="9"/>
      <c r="C102" s="9"/>
      <c r="D102" s="9"/>
      <c r="E102" s="9"/>
      <c r="F102" s="9"/>
      <c r="G102" s="9"/>
      <c r="H102" s="9"/>
    </row>
    <row r="103" customFormat="false" ht="14.25" hidden="false" customHeight="false" outlineLevel="0" collapsed="false">
      <c r="A103" s="9"/>
      <c r="B103" s="9"/>
      <c r="C103" s="9"/>
      <c r="D103" s="9"/>
      <c r="E103" s="9"/>
      <c r="F103" s="9"/>
      <c r="G103" s="9"/>
      <c r="H103" s="9"/>
    </row>
    <row r="104" customFormat="false" ht="14.25" hidden="false" customHeight="false" outlineLevel="0" collapsed="false">
      <c r="A104" s="9"/>
      <c r="B104" s="9"/>
      <c r="C104" s="9"/>
      <c r="D104" s="9"/>
      <c r="E104" s="9"/>
      <c r="F104" s="9"/>
      <c r="G104" s="9"/>
      <c r="H104" s="9"/>
    </row>
    <row r="105" customFormat="false" ht="14.25" hidden="false" customHeight="false" outlineLevel="0" collapsed="false">
      <c r="A105" s="9"/>
      <c r="B105" s="9"/>
      <c r="C105" s="9"/>
      <c r="D105" s="9"/>
      <c r="E105" s="9"/>
      <c r="F105" s="9"/>
      <c r="G105" s="9"/>
      <c r="H105" s="9"/>
    </row>
    <row r="106" customFormat="false" ht="14.25" hidden="false" customHeight="false" outlineLevel="0" collapsed="false">
      <c r="A106" s="9"/>
      <c r="B106" s="9"/>
      <c r="C106" s="9"/>
      <c r="D106" s="9"/>
      <c r="E106" s="9"/>
      <c r="F106" s="9"/>
      <c r="G106" s="9"/>
      <c r="H106" s="9"/>
    </row>
    <row r="107" customFormat="false" ht="14.25" hidden="false" customHeight="false" outlineLevel="0" collapsed="false">
      <c r="A107" s="9"/>
      <c r="B107" s="9"/>
      <c r="C107" s="9"/>
      <c r="D107" s="9"/>
      <c r="E107" s="9"/>
      <c r="F107" s="9"/>
      <c r="G107" s="9"/>
      <c r="H107" s="9"/>
    </row>
    <row r="108" customFormat="false" ht="14.25" hidden="false" customHeight="false" outlineLevel="0" collapsed="false">
      <c r="A108" s="9"/>
      <c r="B108" s="9"/>
      <c r="C108" s="9"/>
      <c r="D108" s="9"/>
      <c r="E108" s="9"/>
      <c r="F108" s="9"/>
      <c r="G108" s="9"/>
      <c r="H108" s="9"/>
    </row>
    <row r="109" customFormat="false" ht="14.25" hidden="false" customHeight="false" outlineLevel="0" collapsed="false">
      <c r="A109" s="9"/>
      <c r="B109" s="9"/>
      <c r="C109" s="9"/>
      <c r="D109" s="9"/>
      <c r="E109" s="9"/>
      <c r="F109" s="9"/>
      <c r="G109" s="9"/>
      <c r="H109" s="9"/>
    </row>
    <row r="110" customFormat="false" ht="14.25" hidden="false" customHeight="false" outlineLevel="0" collapsed="false">
      <c r="A110" s="9"/>
      <c r="B110" s="9"/>
      <c r="C110" s="9"/>
      <c r="D110" s="9"/>
      <c r="E110" s="9"/>
      <c r="F110" s="9"/>
      <c r="G110" s="9"/>
      <c r="H110" s="9"/>
    </row>
    <row r="111" customFormat="false" ht="14.25" hidden="false" customHeight="false" outlineLevel="0" collapsed="false">
      <c r="A111" s="9"/>
      <c r="B111" s="9"/>
      <c r="C111" s="9"/>
      <c r="D111" s="9"/>
      <c r="E111" s="9"/>
      <c r="F111" s="9"/>
      <c r="G111" s="9"/>
      <c r="H111" s="9"/>
    </row>
    <row r="112" customFormat="false" ht="14.25" hidden="false" customHeight="false" outlineLevel="0" collapsed="false">
      <c r="A112" s="9"/>
      <c r="B112" s="9"/>
      <c r="C112" s="9"/>
      <c r="D112" s="9"/>
      <c r="E112" s="9"/>
      <c r="F112" s="9"/>
      <c r="G112" s="9"/>
      <c r="H112" s="9"/>
    </row>
    <row r="113" customFormat="false" ht="14.25" hidden="false" customHeight="false" outlineLevel="0" collapsed="false">
      <c r="A113" s="9"/>
      <c r="B113" s="9"/>
      <c r="C113" s="9"/>
      <c r="D113" s="9"/>
      <c r="E113" s="9"/>
      <c r="F113" s="9"/>
      <c r="G113" s="9"/>
      <c r="H113" s="9"/>
    </row>
    <row r="114" customFormat="false" ht="14.25" hidden="false" customHeight="false" outlineLevel="0" collapsed="false">
      <c r="A114" s="9"/>
      <c r="B114" s="9"/>
      <c r="C114" s="9"/>
      <c r="D114" s="9"/>
      <c r="E114" s="9"/>
      <c r="F114" s="9"/>
      <c r="G114" s="9"/>
      <c r="H114" s="9"/>
    </row>
    <row r="115" customFormat="false" ht="14.25" hidden="false" customHeight="false" outlineLevel="0" collapsed="false">
      <c r="A115" s="9"/>
      <c r="B115" s="9"/>
      <c r="C115" s="9"/>
      <c r="D115" s="9"/>
      <c r="E115" s="9"/>
      <c r="F115" s="9"/>
      <c r="G115" s="9"/>
      <c r="H115" s="9"/>
    </row>
    <row r="116" customFormat="false" ht="14.25" hidden="false" customHeight="false" outlineLevel="0" collapsed="false">
      <c r="A116" s="9"/>
      <c r="B116" s="9"/>
      <c r="C116" s="9"/>
      <c r="D116" s="9"/>
      <c r="E116" s="9"/>
      <c r="F116" s="9"/>
      <c r="G116" s="9"/>
      <c r="H116" s="9"/>
    </row>
    <row r="117" customFormat="false" ht="14.25" hidden="false" customHeight="false" outlineLevel="0" collapsed="false">
      <c r="A117" s="9"/>
      <c r="B117" s="9"/>
      <c r="C117" s="9"/>
      <c r="D117" s="9"/>
      <c r="E117" s="9"/>
      <c r="F117" s="9"/>
      <c r="G117" s="9"/>
      <c r="H117" s="9"/>
    </row>
    <row r="118" customFormat="false" ht="14.25" hidden="false" customHeight="false" outlineLevel="0" collapsed="false">
      <c r="A118" s="9"/>
      <c r="B118" s="9"/>
      <c r="C118" s="9"/>
      <c r="D118" s="9"/>
      <c r="E118" s="9"/>
      <c r="F118" s="9"/>
      <c r="G118" s="9"/>
      <c r="H118" s="9"/>
    </row>
    <row r="119" customFormat="false" ht="14.25" hidden="false" customHeight="false" outlineLevel="0" collapsed="false">
      <c r="A119" s="9"/>
      <c r="B119" s="9"/>
      <c r="C119" s="9"/>
      <c r="D119" s="9"/>
      <c r="E119" s="9"/>
      <c r="F119" s="9"/>
      <c r="G119" s="9"/>
      <c r="H119" s="9"/>
    </row>
    <row r="120" customFormat="false" ht="14.25" hidden="false" customHeight="false" outlineLevel="0" collapsed="false">
      <c r="A120" s="9"/>
      <c r="B120" s="9"/>
      <c r="C120" s="9"/>
      <c r="D120" s="9"/>
      <c r="E120" s="9"/>
      <c r="F120" s="9"/>
      <c r="G120" s="9"/>
      <c r="H120" s="9"/>
    </row>
    <row r="121" customFormat="false" ht="14.25" hidden="false" customHeight="false" outlineLevel="0" collapsed="false">
      <c r="A121" s="9"/>
      <c r="B121" s="9"/>
      <c r="C121" s="9"/>
      <c r="D121" s="9"/>
      <c r="E121" s="9"/>
      <c r="F121" s="9"/>
      <c r="G121" s="9"/>
      <c r="H121" s="9"/>
    </row>
    <row r="122" customFormat="false" ht="14.25" hidden="false" customHeight="false" outlineLevel="0" collapsed="false">
      <c r="B122" s="9"/>
      <c r="C122" s="9"/>
      <c r="D122" s="9"/>
      <c r="E122" s="9"/>
      <c r="F122" s="9"/>
      <c r="G122" s="9"/>
      <c r="H122" s="9"/>
    </row>
    <row r="123" customFormat="false" ht="14.25" hidden="false" customHeight="false" outlineLevel="0" collapsed="false">
      <c r="B123" s="9"/>
      <c r="C123" s="9"/>
      <c r="D123" s="9"/>
      <c r="E123" s="9"/>
      <c r="F123" s="9"/>
      <c r="G123" s="9"/>
      <c r="H123" s="9"/>
    </row>
    <row r="124" customFormat="false" ht="14.25" hidden="false" customHeight="false" outlineLevel="0" collapsed="false">
      <c r="B124" s="9"/>
      <c r="C124" s="9"/>
      <c r="D124" s="9"/>
      <c r="E124" s="9"/>
      <c r="F124" s="9"/>
      <c r="G124" s="9"/>
      <c r="H124" s="9"/>
    </row>
    <row r="125" customFormat="false" ht="14.25" hidden="false" customHeight="false" outlineLevel="0" collapsed="false">
      <c r="B125" s="9"/>
      <c r="C125" s="9"/>
      <c r="D125" s="9"/>
      <c r="E125" s="9"/>
      <c r="F125" s="9"/>
      <c r="G125" s="9"/>
      <c r="H125" s="9"/>
    </row>
    <row r="126" customFormat="false" ht="14.25" hidden="false" customHeight="false" outlineLevel="0" collapsed="false">
      <c r="B126" s="9"/>
      <c r="C126" s="9"/>
      <c r="D126" s="9"/>
      <c r="E126" s="9"/>
      <c r="F126" s="9"/>
      <c r="G126" s="9"/>
      <c r="H126" s="9"/>
    </row>
    <row r="127" customFormat="false" ht="14.25" hidden="false" customHeight="false" outlineLevel="0" collapsed="false">
      <c r="B127" s="9"/>
      <c r="C127" s="9"/>
      <c r="D127" s="9"/>
      <c r="E127" s="9"/>
      <c r="F127" s="9"/>
      <c r="G127" s="9"/>
      <c r="H127" s="9"/>
    </row>
    <row r="128" customFormat="false" ht="14.25" hidden="false" customHeight="false" outlineLevel="0" collapsed="false">
      <c r="B128" s="9"/>
      <c r="C128" s="9"/>
      <c r="D128" s="9"/>
      <c r="E128" s="9"/>
      <c r="F128" s="9"/>
      <c r="G128" s="9"/>
      <c r="H128" s="9"/>
    </row>
    <row r="129" customFormat="false" ht="14.25" hidden="false" customHeight="false" outlineLevel="0" collapsed="false">
      <c r="B129" s="9"/>
      <c r="C129" s="9"/>
      <c r="D129" s="9"/>
      <c r="E129" s="9"/>
      <c r="F129" s="9"/>
      <c r="G129" s="9"/>
      <c r="H129" s="9"/>
    </row>
    <row r="130" customFormat="false" ht="14.25" hidden="false" customHeight="false" outlineLevel="0" collapsed="false">
      <c r="B130" s="9"/>
      <c r="C130" s="9"/>
      <c r="D130" s="9"/>
      <c r="E130" s="9"/>
      <c r="F130" s="9"/>
      <c r="G130" s="9"/>
      <c r="H130" s="9"/>
    </row>
    <row r="131" customFormat="false" ht="14.25" hidden="false" customHeight="false" outlineLevel="0" collapsed="false">
      <c r="B131" s="9"/>
      <c r="C131" s="9"/>
      <c r="D131" s="9"/>
      <c r="E131" s="9"/>
      <c r="F131" s="9"/>
      <c r="G131" s="9"/>
      <c r="H131" s="9"/>
    </row>
    <row r="132" customFormat="false" ht="14.25" hidden="false" customHeight="false" outlineLevel="0" collapsed="false">
      <c r="B132" s="9"/>
      <c r="C132" s="9"/>
      <c r="D132" s="9"/>
      <c r="E132" s="9"/>
      <c r="F132" s="9"/>
      <c r="G132" s="9"/>
      <c r="H132" s="9"/>
    </row>
    <row r="133" customFormat="false" ht="14.25" hidden="false" customHeight="false" outlineLevel="0" collapsed="false">
      <c r="B133" s="9"/>
      <c r="C133" s="9"/>
      <c r="D133" s="9"/>
      <c r="E133" s="9"/>
      <c r="F133" s="9"/>
      <c r="G133" s="9"/>
      <c r="H133" s="9"/>
    </row>
    <row r="134" customFormat="false" ht="14.25" hidden="false" customHeight="false" outlineLevel="0" collapsed="false">
      <c r="B134" s="9"/>
      <c r="C134" s="9"/>
      <c r="D134" s="9"/>
      <c r="E134" s="9"/>
      <c r="F134" s="9"/>
      <c r="G134" s="9"/>
      <c r="H134" s="9"/>
    </row>
    <row r="135" customFormat="false" ht="14.25" hidden="false" customHeight="false" outlineLevel="0" collapsed="false">
      <c r="B135" s="9"/>
      <c r="C135" s="9"/>
      <c r="D135" s="9"/>
      <c r="E135" s="9"/>
      <c r="F135" s="9"/>
      <c r="G135" s="9"/>
      <c r="H135" s="9"/>
    </row>
    <row r="136" customFormat="false" ht="14.25" hidden="false" customHeight="false" outlineLevel="0" collapsed="false">
      <c r="B136" s="9"/>
      <c r="C136" s="9"/>
      <c r="D136" s="9"/>
      <c r="E136" s="9"/>
      <c r="F136" s="9"/>
      <c r="G136" s="9"/>
      <c r="H136" s="9"/>
    </row>
    <row r="137" customFormat="false" ht="14.25" hidden="false" customHeight="false" outlineLevel="0" collapsed="false">
      <c r="B137" s="9"/>
      <c r="C137" s="9"/>
      <c r="D137" s="9"/>
      <c r="E137" s="9"/>
      <c r="F137" s="9"/>
      <c r="G137" s="9"/>
      <c r="H137" s="9"/>
    </row>
    <row r="138" customFormat="false" ht="14.25" hidden="false" customHeight="false" outlineLevel="0" collapsed="false">
      <c r="B138" s="9"/>
      <c r="C138" s="9"/>
      <c r="D138" s="9"/>
      <c r="E138" s="9"/>
      <c r="F138" s="9"/>
      <c r="G138" s="9"/>
      <c r="H138" s="9"/>
    </row>
    <row r="139" customFormat="false" ht="14.25" hidden="false" customHeight="false" outlineLevel="0" collapsed="false">
      <c r="B139" s="9"/>
      <c r="C139" s="9"/>
      <c r="D139" s="9"/>
      <c r="E139" s="9"/>
      <c r="F139" s="9"/>
      <c r="G139" s="9"/>
      <c r="H139" s="9"/>
    </row>
    <row r="140" customFormat="false" ht="14.25" hidden="false" customHeight="false" outlineLevel="0" collapsed="false">
      <c r="B140" s="9"/>
      <c r="C140" s="9"/>
      <c r="D140" s="9"/>
      <c r="E140" s="9"/>
      <c r="F140" s="9"/>
      <c r="G140" s="9"/>
      <c r="H140" s="9"/>
    </row>
    <row r="141" customFormat="false" ht="14.25" hidden="false" customHeight="false" outlineLevel="0" collapsed="false">
      <c r="B141" s="9"/>
      <c r="C141" s="9"/>
      <c r="D141" s="9"/>
      <c r="E141" s="9"/>
      <c r="F141" s="9"/>
      <c r="G141" s="9"/>
      <c r="H141" s="9"/>
    </row>
    <row r="142" customFormat="false" ht="14.25" hidden="false" customHeight="false" outlineLevel="0" collapsed="false">
      <c r="B142" s="9"/>
      <c r="C142" s="9"/>
      <c r="D142" s="9"/>
      <c r="E142" s="9"/>
      <c r="F142" s="9"/>
      <c r="G142" s="9"/>
      <c r="H142" s="9"/>
    </row>
    <row r="143" customFormat="false" ht="14.25" hidden="false" customHeight="false" outlineLevel="0" collapsed="false">
      <c r="B143" s="9"/>
      <c r="C143" s="9"/>
      <c r="D143" s="9"/>
      <c r="E143" s="9"/>
      <c r="F143" s="9"/>
      <c r="G143" s="9"/>
      <c r="H143" s="9"/>
    </row>
    <row r="144" customFormat="false" ht="14.25" hidden="false" customHeight="false" outlineLevel="0" collapsed="false">
      <c r="B144" s="9"/>
      <c r="C144" s="9"/>
      <c r="D144" s="9"/>
      <c r="E144" s="9"/>
      <c r="F144" s="9"/>
      <c r="G144" s="9"/>
      <c r="H144" s="9"/>
    </row>
    <row r="145" customFormat="false" ht="14.25" hidden="false" customHeight="false" outlineLevel="0" collapsed="false">
      <c r="B145" s="9"/>
      <c r="C145" s="9"/>
      <c r="D145" s="9"/>
      <c r="E145" s="9"/>
      <c r="F145" s="9"/>
      <c r="G145" s="9"/>
      <c r="H145" s="9"/>
    </row>
    <row r="146" customFormat="false" ht="14.25" hidden="false" customHeight="false" outlineLevel="0" collapsed="false">
      <c r="B146" s="9"/>
      <c r="C146" s="9"/>
      <c r="D146" s="9"/>
      <c r="E146" s="9"/>
      <c r="F146" s="9"/>
      <c r="G146" s="9"/>
      <c r="H146" s="9"/>
    </row>
    <row r="147" customFormat="false" ht="14.25" hidden="false" customHeight="false" outlineLevel="0" collapsed="false">
      <c r="B147" s="9"/>
      <c r="C147" s="9"/>
      <c r="D147" s="9"/>
      <c r="E147" s="9"/>
      <c r="F147" s="9"/>
      <c r="G147" s="9"/>
      <c r="H147" s="9"/>
    </row>
    <row r="148" customFormat="false" ht="14.25" hidden="false" customHeight="false" outlineLevel="0" collapsed="false">
      <c r="B148" s="9"/>
      <c r="C148" s="9"/>
      <c r="D148" s="9"/>
      <c r="E148" s="9"/>
      <c r="F148" s="9"/>
      <c r="G148" s="9"/>
      <c r="H148" s="9"/>
    </row>
    <row r="149" customFormat="false" ht="14.25" hidden="false" customHeight="false" outlineLevel="0" collapsed="false">
      <c r="B149" s="9"/>
      <c r="C149" s="9"/>
      <c r="D149" s="9"/>
      <c r="E149" s="9"/>
      <c r="F149" s="9"/>
      <c r="G149" s="9"/>
      <c r="H149" s="9"/>
    </row>
    <row r="150" customFormat="false" ht="14.25" hidden="false" customHeight="false" outlineLevel="0" collapsed="false">
      <c r="B150" s="9"/>
      <c r="C150" s="9"/>
      <c r="D150" s="9"/>
      <c r="E150" s="9"/>
      <c r="F150" s="9"/>
      <c r="G150" s="9"/>
      <c r="H150" s="9"/>
    </row>
    <row r="151" customFormat="false" ht="14.25" hidden="false" customHeight="false" outlineLevel="0" collapsed="false">
      <c r="B151" s="9"/>
      <c r="C151" s="9"/>
      <c r="D151" s="9"/>
      <c r="E151" s="9"/>
      <c r="F151" s="9"/>
      <c r="G151" s="9"/>
      <c r="H151" s="9"/>
    </row>
    <row r="152" customFormat="false" ht="14.25" hidden="false" customHeight="false" outlineLevel="0" collapsed="false">
      <c r="B152" s="9"/>
      <c r="C152" s="9"/>
      <c r="D152" s="9"/>
      <c r="E152" s="9"/>
      <c r="F152" s="9"/>
      <c r="G152" s="9"/>
      <c r="H152" s="9"/>
    </row>
    <row r="153" customFormat="false" ht="14.25" hidden="false" customHeight="false" outlineLevel="0" collapsed="false">
      <c r="B153" s="9"/>
      <c r="C153" s="9"/>
      <c r="D153" s="9"/>
      <c r="E153" s="9"/>
      <c r="F153" s="9"/>
      <c r="G153" s="9"/>
      <c r="H153" s="9"/>
    </row>
    <row r="154" customFormat="false" ht="14.25" hidden="false" customHeight="false" outlineLevel="0" collapsed="false">
      <c r="B154" s="9"/>
      <c r="C154" s="9"/>
      <c r="D154" s="9"/>
      <c r="E154" s="9"/>
      <c r="F154" s="9"/>
      <c r="G154" s="9"/>
      <c r="H154" s="9"/>
    </row>
    <row r="155" customFormat="false" ht="14.25" hidden="false" customHeight="false" outlineLevel="0" collapsed="false">
      <c r="B155" s="9"/>
      <c r="C155" s="9"/>
      <c r="D155" s="9"/>
      <c r="E155" s="9"/>
      <c r="F155" s="9"/>
      <c r="G155" s="9"/>
      <c r="H155" s="9"/>
    </row>
    <row r="156" customFormat="false" ht="14.25" hidden="false" customHeight="false" outlineLevel="0" collapsed="false">
      <c r="B156" s="9"/>
      <c r="C156" s="9"/>
      <c r="D156" s="9"/>
      <c r="E156" s="9"/>
      <c r="F156" s="9"/>
      <c r="G156" s="9"/>
      <c r="H156" s="9"/>
    </row>
    <row r="157" customFormat="false" ht="14.25" hidden="false" customHeight="false" outlineLevel="0" collapsed="false">
      <c r="B157" s="9"/>
      <c r="C157" s="9"/>
      <c r="D157" s="9"/>
      <c r="E157" s="9"/>
      <c r="F157" s="9"/>
      <c r="G157" s="9"/>
      <c r="H157" s="9"/>
    </row>
    <row r="158" customFormat="false" ht="14.25" hidden="false" customHeight="false" outlineLevel="0" collapsed="false">
      <c r="B158" s="9"/>
      <c r="C158" s="9"/>
      <c r="D158" s="9"/>
      <c r="E158" s="9"/>
      <c r="F158" s="9"/>
      <c r="G158" s="9"/>
      <c r="H158" s="9"/>
    </row>
    <row r="159" customFormat="false" ht="14.25" hidden="false" customHeight="false" outlineLevel="0" collapsed="false">
      <c r="B159" s="9"/>
      <c r="C159" s="9"/>
      <c r="D159" s="9"/>
      <c r="E159" s="9"/>
      <c r="F159" s="9"/>
      <c r="G159" s="9"/>
      <c r="H159" s="9"/>
    </row>
    <row r="160" customFormat="false" ht="14.25" hidden="false" customHeight="false" outlineLevel="0" collapsed="false">
      <c r="B160" s="9"/>
      <c r="C160" s="9"/>
      <c r="D160" s="9"/>
      <c r="E160" s="9"/>
      <c r="F160" s="9"/>
      <c r="G160" s="9"/>
      <c r="H160" s="9"/>
    </row>
    <row r="161" customFormat="false" ht="14.25" hidden="false" customHeight="false" outlineLevel="0" collapsed="false">
      <c r="B161" s="9"/>
      <c r="C161" s="9"/>
      <c r="D161" s="9"/>
      <c r="E161" s="9"/>
      <c r="F161" s="9"/>
      <c r="G161" s="9"/>
      <c r="H161" s="9"/>
    </row>
    <row r="162" customFormat="false" ht="14.25" hidden="false" customHeight="false" outlineLevel="0" collapsed="false">
      <c r="B162" s="9"/>
      <c r="C162" s="9"/>
      <c r="D162" s="9"/>
      <c r="E162" s="9"/>
      <c r="F162" s="9"/>
      <c r="G162" s="9"/>
      <c r="H162" s="9"/>
    </row>
    <row r="163" customFormat="false" ht="14.25" hidden="false" customHeight="false" outlineLevel="0" collapsed="false">
      <c r="B163" s="9"/>
      <c r="C163" s="9"/>
      <c r="D163" s="9"/>
      <c r="E163" s="9"/>
      <c r="F163" s="9"/>
      <c r="G163" s="9"/>
      <c r="H163" s="9"/>
    </row>
    <row r="164" customFormat="false" ht="14.25" hidden="false" customHeight="false" outlineLevel="0" collapsed="false">
      <c r="B164" s="9"/>
      <c r="C164" s="9"/>
      <c r="D164" s="9"/>
      <c r="E164" s="9"/>
      <c r="F164" s="9"/>
      <c r="G164" s="9"/>
      <c r="H164" s="9"/>
    </row>
    <row r="165" customFormat="false" ht="14.25" hidden="false" customHeight="false" outlineLevel="0" collapsed="false">
      <c r="B165" s="9"/>
      <c r="C165" s="9"/>
      <c r="D165" s="9"/>
      <c r="E165" s="9"/>
      <c r="F165" s="9"/>
      <c r="G165" s="9"/>
      <c r="H165" s="9"/>
    </row>
    <row r="166" customFormat="false" ht="14.25" hidden="false" customHeight="false" outlineLevel="0" collapsed="false">
      <c r="B166" s="9"/>
      <c r="C166" s="9"/>
      <c r="D166" s="9"/>
      <c r="E166" s="9"/>
      <c r="F166" s="9"/>
      <c r="G166" s="9"/>
      <c r="H166" s="9"/>
    </row>
    <row r="167" customFormat="false" ht="14.25" hidden="false" customHeight="false" outlineLevel="0" collapsed="false">
      <c r="B167" s="9"/>
      <c r="C167" s="9"/>
      <c r="D167" s="9"/>
      <c r="E167" s="9"/>
      <c r="F167" s="9"/>
      <c r="G167" s="9"/>
      <c r="H167" s="9"/>
    </row>
    <row r="168" customFormat="false" ht="14.25" hidden="false" customHeight="false" outlineLevel="0" collapsed="false">
      <c r="B168" s="9"/>
      <c r="C168" s="9"/>
      <c r="D168" s="9"/>
      <c r="E168" s="9"/>
      <c r="F168" s="9"/>
      <c r="G168" s="9"/>
      <c r="H168" s="9"/>
    </row>
    <row r="169" customFormat="false" ht="14.25" hidden="false" customHeight="false" outlineLevel="0" collapsed="false">
      <c r="B169" s="9"/>
      <c r="C169" s="9"/>
      <c r="D169" s="9"/>
      <c r="E169" s="9"/>
      <c r="F169" s="9"/>
      <c r="G169" s="9"/>
      <c r="H169" s="9"/>
    </row>
    <row r="170" customFormat="false" ht="14.25" hidden="false" customHeight="false" outlineLevel="0" collapsed="false">
      <c r="B170" s="9"/>
      <c r="C170" s="9"/>
      <c r="D170" s="9"/>
      <c r="E170" s="9"/>
      <c r="F170" s="9"/>
      <c r="G170" s="9"/>
      <c r="H170" s="9"/>
    </row>
    <row r="171" customFormat="false" ht="14.25" hidden="false" customHeight="false" outlineLevel="0" collapsed="false">
      <c r="B171" s="9"/>
      <c r="C171" s="9"/>
      <c r="D171" s="9"/>
      <c r="E171" s="9"/>
      <c r="F171" s="9"/>
      <c r="G171" s="9"/>
      <c r="H171" s="9"/>
    </row>
    <row r="172" customFormat="false" ht="14.25" hidden="false" customHeight="false" outlineLevel="0" collapsed="false">
      <c r="B172" s="9"/>
      <c r="C172" s="9"/>
      <c r="D172" s="9"/>
      <c r="E172" s="9"/>
      <c r="F172" s="9"/>
      <c r="G172" s="9"/>
      <c r="H172" s="9"/>
    </row>
    <row r="173" customFormat="false" ht="14.25" hidden="false" customHeight="false" outlineLevel="0" collapsed="false">
      <c r="B173" s="9"/>
      <c r="C173" s="9"/>
      <c r="D173" s="9"/>
      <c r="E173" s="9"/>
      <c r="F173" s="9"/>
      <c r="G173" s="9"/>
      <c r="H173" s="9"/>
    </row>
    <row r="174" customFormat="false" ht="14.25" hidden="false" customHeight="false" outlineLevel="0" collapsed="false">
      <c r="B174" s="9"/>
      <c r="C174" s="9"/>
      <c r="D174" s="9"/>
      <c r="E174" s="9"/>
      <c r="F174" s="9"/>
      <c r="G174" s="9"/>
      <c r="H174" s="9"/>
    </row>
    <row r="175" customFormat="false" ht="14.25" hidden="false" customHeight="false" outlineLevel="0" collapsed="false">
      <c r="B175" s="9"/>
      <c r="C175" s="9"/>
      <c r="D175" s="9"/>
      <c r="E175" s="9"/>
      <c r="F175" s="9"/>
      <c r="G175" s="9"/>
      <c r="H175" s="9"/>
    </row>
    <row r="176" customFormat="false" ht="14.25" hidden="false" customHeight="false" outlineLevel="0" collapsed="false">
      <c r="B176" s="9"/>
      <c r="C176" s="9"/>
      <c r="D176" s="9"/>
      <c r="E176" s="9"/>
      <c r="F176" s="9"/>
      <c r="G176" s="9"/>
      <c r="H176" s="9"/>
    </row>
    <row r="177" customFormat="false" ht="14.25" hidden="false" customHeight="false" outlineLevel="0" collapsed="false">
      <c r="B177" s="9"/>
      <c r="C177" s="9"/>
      <c r="D177" s="9"/>
      <c r="E177" s="9"/>
      <c r="F177" s="9"/>
      <c r="G177" s="9"/>
      <c r="H177" s="9"/>
    </row>
    <row r="178" customFormat="false" ht="14.25" hidden="false" customHeight="false" outlineLevel="0" collapsed="false">
      <c r="B178" s="9"/>
      <c r="C178" s="9"/>
      <c r="D178" s="9"/>
      <c r="E178" s="9"/>
      <c r="F178" s="9"/>
      <c r="G178" s="9"/>
      <c r="H178" s="9"/>
    </row>
    <row r="179" customFormat="false" ht="14.25" hidden="false" customHeight="false" outlineLevel="0" collapsed="false">
      <c r="B179" s="9"/>
      <c r="C179" s="9"/>
      <c r="D179" s="9"/>
      <c r="E179" s="9"/>
      <c r="F179" s="9"/>
      <c r="G179" s="9"/>
      <c r="H179" s="9"/>
    </row>
    <row r="180" customFormat="false" ht="14.25" hidden="false" customHeight="false" outlineLevel="0" collapsed="false">
      <c r="B180" s="9"/>
      <c r="C180" s="9"/>
      <c r="D180" s="9"/>
      <c r="E180" s="9"/>
      <c r="F180" s="9"/>
      <c r="G180" s="9"/>
      <c r="H180" s="9"/>
    </row>
    <row r="181" customFormat="false" ht="14.25" hidden="false" customHeight="false" outlineLevel="0" collapsed="false">
      <c r="B181" s="9"/>
      <c r="C181" s="9"/>
      <c r="D181" s="9"/>
      <c r="E181" s="9"/>
      <c r="F181" s="9"/>
      <c r="G181" s="9"/>
      <c r="H181" s="9"/>
    </row>
    <row r="182" customFormat="false" ht="14.25" hidden="false" customHeight="false" outlineLevel="0" collapsed="false">
      <c r="B182" s="9"/>
      <c r="C182" s="9"/>
      <c r="D182" s="9"/>
      <c r="E182" s="9"/>
      <c r="F182" s="9"/>
      <c r="G182" s="9"/>
      <c r="H182" s="9"/>
    </row>
    <row r="183" customFormat="false" ht="14.25" hidden="false" customHeight="false" outlineLevel="0" collapsed="false">
      <c r="B183" s="9"/>
      <c r="C183" s="9"/>
      <c r="D183" s="9"/>
      <c r="E183" s="9"/>
      <c r="F183" s="9"/>
      <c r="G183" s="9"/>
      <c r="H183" s="9"/>
    </row>
    <row r="184" customFormat="false" ht="14.25" hidden="false" customHeight="false" outlineLevel="0" collapsed="false">
      <c r="B184" s="9"/>
      <c r="C184" s="9"/>
      <c r="D184" s="9"/>
      <c r="E184" s="9"/>
      <c r="F184" s="9"/>
      <c r="G184" s="9"/>
      <c r="H184" s="9"/>
    </row>
    <row r="185" customFormat="false" ht="14.25" hidden="false" customHeight="false" outlineLevel="0" collapsed="false">
      <c r="B185" s="9"/>
      <c r="C185" s="9"/>
      <c r="D185" s="9"/>
      <c r="E185" s="9"/>
      <c r="F185" s="9"/>
      <c r="G185" s="9"/>
      <c r="H185" s="9"/>
    </row>
    <row r="186" customFormat="false" ht="14.25" hidden="false" customHeight="false" outlineLevel="0" collapsed="false">
      <c r="B186" s="9"/>
      <c r="C186" s="9"/>
      <c r="D186" s="9"/>
      <c r="E186" s="9"/>
      <c r="F186" s="9"/>
      <c r="G186" s="9"/>
      <c r="H186" s="9"/>
    </row>
    <row r="187" customFormat="false" ht="14.25" hidden="false" customHeight="false" outlineLevel="0" collapsed="false">
      <c r="B187" s="9"/>
      <c r="C187" s="9"/>
      <c r="D187" s="9"/>
      <c r="E187" s="9"/>
      <c r="F187" s="9"/>
      <c r="G187" s="9"/>
      <c r="H187" s="9"/>
    </row>
    <row r="188" customFormat="false" ht="14.25" hidden="false" customHeight="false" outlineLevel="0" collapsed="false">
      <c r="B188" s="9"/>
      <c r="C188" s="9"/>
      <c r="D188" s="9"/>
      <c r="E188" s="9"/>
      <c r="F188" s="9"/>
      <c r="G188" s="9"/>
      <c r="H188" s="9"/>
    </row>
    <row r="189" customFormat="false" ht="14.25" hidden="false" customHeight="false" outlineLevel="0" collapsed="false">
      <c r="B189" s="9"/>
      <c r="C189" s="9"/>
      <c r="D189" s="9"/>
      <c r="E189" s="9"/>
      <c r="F189" s="9"/>
      <c r="G189" s="9"/>
      <c r="H189" s="9"/>
    </row>
    <row r="190" customFormat="false" ht="14.25" hidden="false" customHeight="false" outlineLevel="0" collapsed="false">
      <c r="B190" s="9"/>
      <c r="C190" s="9"/>
      <c r="D190" s="9"/>
      <c r="E190" s="9"/>
      <c r="F190" s="9"/>
      <c r="G190" s="9"/>
      <c r="H190" s="9"/>
    </row>
    <row r="191" customFormat="false" ht="14.25" hidden="false" customHeight="false" outlineLevel="0" collapsed="false">
      <c r="B191" s="9"/>
      <c r="C191" s="9"/>
      <c r="D191" s="9"/>
      <c r="E191" s="9"/>
      <c r="F191" s="9"/>
      <c r="G191" s="9"/>
      <c r="H191" s="9"/>
    </row>
    <row r="192" customFormat="false" ht="14.25" hidden="false" customHeight="false" outlineLevel="0" collapsed="false">
      <c r="B192" s="9"/>
      <c r="C192" s="9"/>
      <c r="D192" s="9"/>
      <c r="E192" s="9"/>
      <c r="F192" s="9"/>
      <c r="G192" s="9"/>
      <c r="H192" s="9"/>
    </row>
    <row r="193" customFormat="false" ht="14.25" hidden="false" customHeight="false" outlineLevel="0" collapsed="false">
      <c r="B193" s="9"/>
      <c r="C193" s="9"/>
      <c r="D193" s="9"/>
      <c r="E193" s="9"/>
      <c r="F193" s="9"/>
      <c r="G193" s="9"/>
      <c r="H193" s="9"/>
    </row>
    <row r="194" customFormat="false" ht="14.25" hidden="false" customHeight="false" outlineLevel="0" collapsed="false">
      <c r="B194" s="9"/>
      <c r="C194" s="9"/>
      <c r="D194" s="9"/>
      <c r="E194" s="9"/>
      <c r="F194" s="9"/>
      <c r="G194" s="9"/>
      <c r="H194" s="9"/>
    </row>
    <row r="195" customFormat="false" ht="14.25" hidden="false" customHeight="false" outlineLevel="0" collapsed="false">
      <c r="B195" s="9"/>
      <c r="C195" s="9"/>
      <c r="D195" s="9"/>
      <c r="E195" s="9"/>
      <c r="F195" s="9"/>
      <c r="G195" s="9"/>
      <c r="H195" s="9"/>
    </row>
    <row r="196" customFormat="false" ht="14.25" hidden="false" customHeight="false" outlineLevel="0" collapsed="false">
      <c r="B196" s="9"/>
      <c r="C196" s="9"/>
      <c r="D196" s="9"/>
      <c r="E196" s="9"/>
      <c r="F196" s="9"/>
      <c r="G196" s="9"/>
      <c r="H196" s="9"/>
    </row>
    <row r="197" customFormat="false" ht="14.25" hidden="false" customHeight="false" outlineLevel="0" collapsed="false">
      <c r="B197" s="9"/>
      <c r="C197" s="9"/>
      <c r="D197" s="9"/>
      <c r="E197" s="9"/>
      <c r="F197" s="9"/>
      <c r="G197" s="9"/>
      <c r="H197" s="9"/>
    </row>
    <row r="198" customFormat="false" ht="14.25" hidden="false" customHeight="false" outlineLevel="0" collapsed="false">
      <c r="B198" s="9"/>
      <c r="C198" s="9"/>
      <c r="D198" s="9"/>
      <c r="E198" s="9"/>
      <c r="F198" s="9"/>
      <c r="G198" s="9"/>
      <c r="H198" s="9"/>
    </row>
    <row r="199" customFormat="false" ht="14.25" hidden="false" customHeight="false" outlineLevel="0" collapsed="false">
      <c r="B199" s="9"/>
      <c r="C199" s="9"/>
      <c r="D199" s="9"/>
      <c r="E199" s="9"/>
      <c r="F199" s="9"/>
      <c r="G199" s="9"/>
      <c r="H199" s="9"/>
    </row>
    <row r="200" customFormat="false" ht="14.25" hidden="false" customHeight="false" outlineLevel="0" collapsed="false">
      <c r="B200" s="9"/>
      <c r="C200" s="9"/>
      <c r="D200" s="9"/>
      <c r="E200" s="9"/>
      <c r="F200" s="9"/>
      <c r="G200" s="9"/>
      <c r="H200" s="9"/>
    </row>
    <row r="201" customFormat="false" ht="14.25" hidden="false" customHeight="false" outlineLevel="0" collapsed="false">
      <c r="B201" s="9"/>
      <c r="C201" s="9"/>
      <c r="D201" s="9"/>
      <c r="E201" s="9"/>
      <c r="F201" s="9"/>
      <c r="G201" s="9"/>
      <c r="H201" s="9"/>
    </row>
    <row r="202" customFormat="false" ht="14.25" hidden="false" customHeight="false" outlineLevel="0" collapsed="false">
      <c r="B202" s="9"/>
      <c r="C202" s="9"/>
      <c r="D202" s="9"/>
      <c r="E202" s="9"/>
      <c r="F202" s="9"/>
      <c r="G202" s="9"/>
      <c r="H202" s="9"/>
    </row>
    <row r="203" customFormat="false" ht="14.25" hidden="false" customHeight="false" outlineLevel="0" collapsed="false">
      <c r="B203" s="9"/>
      <c r="C203" s="9"/>
      <c r="D203" s="9"/>
      <c r="E203" s="9"/>
      <c r="F203" s="9"/>
      <c r="G203" s="9"/>
      <c r="H203" s="9"/>
    </row>
    <row r="204" customFormat="false" ht="14.25" hidden="false" customHeight="false" outlineLevel="0" collapsed="false">
      <c r="B204" s="9"/>
      <c r="C204" s="9"/>
      <c r="D204" s="9"/>
      <c r="E204" s="9"/>
      <c r="F204" s="9"/>
      <c r="G204" s="9"/>
      <c r="H204" s="9"/>
    </row>
    <row r="205" customFormat="false" ht="14.25" hidden="false" customHeight="false" outlineLevel="0" collapsed="false">
      <c r="B205" s="9"/>
      <c r="C205" s="9"/>
      <c r="D205" s="9"/>
      <c r="E205" s="9"/>
      <c r="F205" s="9"/>
      <c r="G205" s="9"/>
      <c r="H205" s="9"/>
    </row>
    <row r="206" customFormat="false" ht="14.25" hidden="false" customHeight="false" outlineLevel="0" collapsed="false">
      <c r="B206" s="9"/>
      <c r="C206" s="9"/>
      <c r="D206" s="9"/>
      <c r="E206" s="9"/>
      <c r="F206" s="9"/>
      <c r="G206" s="9"/>
      <c r="H206" s="9"/>
    </row>
    <row r="207" customFormat="false" ht="14.25" hidden="false" customHeight="false" outlineLevel="0" collapsed="false">
      <c r="B207" s="9"/>
      <c r="C207" s="9"/>
      <c r="D207" s="9"/>
      <c r="E207" s="9"/>
      <c r="F207" s="9"/>
      <c r="G207" s="9"/>
      <c r="H207" s="9"/>
    </row>
    <row r="208" customFormat="false" ht="14.25" hidden="false" customHeight="false" outlineLevel="0" collapsed="false">
      <c r="B208" s="9"/>
      <c r="C208" s="9"/>
      <c r="D208" s="9"/>
      <c r="E208" s="9"/>
      <c r="F208" s="9"/>
      <c r="G208" s="9"/>
      <c r="H208" s="9"/>
    </row>
    <row r="209" customFormat="false" ht="14.25" hidden="false" customHeight="false" outlineLevel="0" collapsed="false">
      <c r="B209" s="9"/>
      <c r="C209" s="9"/>
      <c r="D209" s="9"/>
      <c r="E209" s="9"/>
      <c r="F209" s="9"/>
      <c r="G209" s="9"/>
      <c r="H209" s="9"/>
    </row>
    <row r="210" customFormat="false" ht="14.25" hidden="false" customHeight="false" outlineLevel="0" collapsed="false">
      <c r="B210" s="9"/>
      <c r="C210" s="9"/>
      <c r="D210" s="9"/>
      <c r="E210" s="9"/>
      <c r="F210" s="9"/>
      <c r="G210" s="9"/>
      <c r="H210" s="9"/>
    </row>
    <row r="211" customFormat="false" ht="14.25" hidden="false" customHeight="false" outlineLevel="0" collapsed="false">
      <c r="B211" s="9"/>
      <c r="C211" s="9"/>
      <c r="D211" s="9"/>
      <c r="E211" s="9"/>
      <c r="F211" s="9"/>
      <c r="G211" s="9"/>
      <c r="H211" s="9"/>
    </row>
    <row r="212" customFormat="false" ht="14.25" hidden="false" customHeight="false" outlineLevel="0" collapsed="false">
      <c r="B212" s="9"/>
      <c r="C212" s="9"/>
      <c r="D212" s="9"/>
      <c r="E212" s="9"/>
      <c r="F212" s="9"/>
      <c r="G212" s="9"/>
      <c r="H212" s="9"/>
    </row>
    <row r="213" customFormat="false" ht="14.25" hidden="false" customHeight="false" outlineLevel="0" collapsed="false">
      <c r="B213" s="9"/>
      <c r="C213" s="9"/>
      <c r="D213" s="9"/>
      <c r="E213" s="9"/>
      <c r="F213" s="9"/>
      <c r="G213" s="9"/>
      <c r="H213" s="9"/>
    </row>
    <row r="214" customFormat="false" ht="14.25" hidden="false" customHeight="false" outlineLevel="0" collapsed="false">
      <c r="B214" s="9"/>
      <c r="C214" s="9"/>
      <c r="D214" s="9"/>
      <c r="E214" s="9"/>
      <c r="F214" s="9"/>
      <c r="G214" s="9"/>
      <c r="H214" s="9"/>
    </row>
    <row r="215" customFormat="false" ht="14.25" hidden="false" customHeight="false" outlineLevel="0" collapsed="false">
      <c r="B215" s="9"/>
      <c r="C215" s="9"/>
      <c r="D215" s="9"/>
      <c r="E215" s="9"/>
      <c r="F215" s="9"/>
      <c r="G215" s="9"/>
      <c r="H215" s="9"/>
    </row>
    <row r="216" customFormat="false" ht="14.25" hidden="false" customHeight="false" outlineLevel="0" collapsed="false">
      <c r="B216" s="9"/>
      <c r="C216" s="9"/>
      <c r="D216" s="9"/>
      <c r="E216" s="9"/>
      <c r="F216" s="9"/>
      <c r="G216" s="9"/>
      <c r="H216" s="9"/>
    </row>
    <row r="217" customFormat="false" ht="14.25" hidden="false" customHeight="false" outlineLevel="0" collapsed="false">
      <c r="B217" s="9"/>
      <c r="C217" s="9"/>
      <c r="D217" s="9"/>
      <c r="E217" s="9"/>
      <c r="F217" s="9"/>
      <c r="G217" s="9"/>
      <c r="H217" s="9"/>
    </row>
    <row r="218" customFormat="false" ht="14.25" hidden="false" customHeight="false" outlineLevel="0" collapsed="false">
      <c r="B218" s="9"/>
      <c r="C218" s="9"/>
      <c r="D218" s="9"/>
      <c r="E218" s="9"/>
      <c r="F218" s="9"/>
      <c r="G218" s="9"/>
      <c r="H218" s="9"/>
    </row>
    <row r="219" customFormat="false" ht="14.25" hidden="false" customHeight="false" outlineLevel="0" collapsed="false">
      <c r="B219" s="9"/>
      <c r="C219" s="9"/>
      <c r="D219" s="9"/>
      <c r="E219" s="9"/>
      <c r="F219" s="9"/>
      <c r="G219" s="9"/>
      <c r="H219" s="9"/>
    </row>
    <row r="220" customFormat="false" ht="14.25" hidden="false" customHeight="false" outlineLevel="0" collapsed="false">
      <c r="B220" s="9"/>
      <c r="C220" s="9"/>
      <c r="D220" s="9"/>
      <c r="E220" s="9"/>
      <c r="F220" s="9"/>
      <c r="G220" s="9"/>
      <c r="H220" s="9"/>
    </row>
    <row r="221" customFormat="false" ht="14.25" hidden="false" customHeight="false" outlineLevel="0" collapsed="false">
      <c r="B221" s="9"/>
      <c r="C221" s="9"/>
      <c r="D221" s="9"/>
      <c r="E221" s="9"/>
      <c r="F221" s="9"/>
      <c r="G221" s="9"/>
      <c r="H221" s="9"/>
    </row>
    <row r="222" customFormat="false" ht="14.25" hidden="false" customHeight="false" outlineLevel="0" collapsed="false">
      <c r="B222" s="9"/>
      <c r="C222" s="9"/>
      <c r="D222" s="9"/>
      <c r="E222" s="9"/>
      <c r="F222" s="9"/>
      <c r="G222" s="9"/>
      <c r="H222" s="9"/>
    </row>
    <row r="223" customFormat="false" ht="14.25" hidden="false" customHeight="false" outlineLevel="0" collapsed="false">
      <c r="B223" s="9"/>
      <c r="C223" s="9"/>
      <c r="D223" s="9"/>
      <c r="E223" s="9"/>
      <c r="F223" s="9"/>
      <c r="G223" s="9"/>
      <c r="H223" s="9"/>
    </row>
    <row r="224" customFormat="false" ht="14.25" hidden="false" customHeight="false" outlineLevel="0" collapsed="false">
      <c r="B224" s="9"/>
      <c r="C224" s="9"/>
      <c r="D224" s="9"/>
      <c r="E224" s="9"/>
      <c r="F224" s="9"/>
      <c r="G224" s="9"/>
      <c r="H224" s="9"/>
    </row>
    <row r="225" customFormat="false" ht="14.25" hidden="false" customHeight="false" outlineLevel="0" collapsed="false">
      <c r="B225" s="9"/>
      <c r="C225" s="9"/>
      <c r="D225" s="9"/>
      <c r="E225" s="9"/>
      <c r="F225" s="9"/>
      <c r="G225" s="9"/>
      <c r="H225" s="9"/>
    </row>
    <row r="226" customFormat="false" ht="14.25" hidden="false" customHeight="false" outlineLevel="0" collapsed="false">
      <c r="B226" s="9"/>
      <c r="C226" s="9"/>
      <c r="D226" s="9"/>
      <c r="E226" s="9"/>
      <c r="F226" s="9"/>
      <c r="G226" s="9"/>
      <c r="H226" s="9"/>
    </row>
    <row r="227" customFormat="false" ht="14.25" hidden="false" customHeight="false" outlineLevel="0" collapsed="false">
      <c r="B227" s="9"/>
      <c r="C227" s="9"/>
      <c r="D227" s="9"/>
      <c r="E227" s="9"/>
      <c r="F227" s="9"/>
      <c r="G227" s="9"/>
      <c r="H227" s="9"/>
    </row>
    <row r="228" customFormat="false" ht="14.25" hidden="false" customHeight="false" outlineLevel="0" collapsed="false">
      <c r="B228" s="9"/>
      <c r="C228" s="9"/>
      <c r="D228" s="9"/>
      <c r="E228" s="9"/>
      <c r="F228" s="9"/>
      <c r="G228" s="9"/>
      <c r="H228" s="9"/>
    </row>
    <row r="229" customFormat="false" ht="14.25" hidden="false" customHeight="false" outlineLevel="0" collapsed="false">
      <c r="B229" s="9"/>
      <c r="C229" s="9"/>
      <c r="D229" s="9"/>
      <c r="E229" s="9"/>
      <c r="F229" s="9"/>
      <c r="G229" s="9"/>
      <c r="H229" s="9"/>
    </row>
    <row r="230" customFormat="false" ht="14.25" hidden="false" customHeight="false" outlineLevel="0" collapsed="false">
      <c r="B230" s="9"/>
      <c r="C230" s="9"/>
      <c r="D230" s="9"/>
      <c r="E230" s="9"/>
      <c r="F230" s="9"/>
      <c r="G230" s="9"/>
      <c r="H230" s="9"/>
    </row>
    <row r="231" customFormat="false" ht="14.25" hidden="false" customHeight="false" outlineLevel="0" collapsed="false">
      <c r="B231" s="9"/>
      <c r="C231" s="9"/>
      <c r="D231" s="9"/>
      <c r="E231" s="9"/>
      <c r="F231" s="9"/>
      <c r="G231" s="9"/>
      <c r="H231" s="9"/>
    </row>
    <row r="232" customFormat="false" ht="14.25" hidden="false" customHeight="false" outlineLevel="0" collapsed="false">
      <c r="B232" s="9"/>
      <c r="C232" s="9"/>
      <c r="D232" s="9"/>
      <c r="E232" s="9"/>
      <c r="F232" s="9"/>
      <c r="G232" s="9"/>
      <c r="H232" s="9"/>
    </row>
    <row r="233" customFormat="false" ht="14.25" hidden="false" customHeight="false" outlineLevel="0" collapsed="false">
      <c r="B233" s="9"/>
      <c r="C233" s="9"/>
      <c r="D233" s="9"/>
      <c r="E233" s="9"/>
      <c r="F233" s="9"/>
      <c r="G233" s="9"/>
      <c r="H233" s="9"/>
    </row>
    <row r="234" customFormat="false" ht="14.25" hidden="false" customHeight="false" outlineLevel="0" collapsed="false">
      <c r="B234" s="9"/>
      <c r="C234" s="9"/>
      <c r="D234" s="9"/>
      <c r="E234" s="9"/>
      <c r="F234" s="9"/>
      <c r="G234" s="9"/>
      <c r="H234" s="9"/>
    </row>
    <row r="235" customFormat="false" ht="14.25" hidden="false" customHeight="false" outlineLevel="0" collapsed="false">
      <c r="B235" s="9"/>
      <c r="C235" s="9"/>
      <c r="D235" s="9"/>
      <c r="E235" s="9"/>
      <c r="F235" s="9"/>
      <c r="G235" s="9"/>
      <c r="H235" s="9"/>
    </row>
    <row r="236" customFormat="false" ht="14.25" hidden="false" customHeight="false" outlineLevel="0" collapsed="false">
      <c r="B236" s="9"/>
      <c r="C236" s="9"/>
      <c r="D236" s="9"/>
      <c r="E236" s="9"/>
      <c r="F236" s="9"/>
      <c r="G236" s="9"/>
      <c r="H236" s="9"/>
    </row>
    <row r="237" customFormat="false" ht="14.25" hidden="false" customHeight="false" outlineLevel="0" collapsed="false">
      <c r="B237" s="9"/>
      <c r="C237" s="9"/>
      <c r="D237" s="9"/>
      <c r="E237" s="9"/>
      <c r="F237" s="9"/>
      <c r="G237" s="9"/>
      <c r="H237" s="9"/>
    </row>
    <row r="238" customFormat="false" ht="14.25" hidden="false" customHeight="false" outlineLevel="0" collapsed="false">
      <c r="B238" s="9"/>
      <c r="C238" s="9"/>
      <c r="D238" s="9"/>
      <c r="E238" s="9"/>
      <c r="F238" s="9"/>
      <c r="G238" s="9"/>
      <c r="H238" s="9"/>
    </row>
    <row r="239" customFormat="false" ht="14.25" hidden="false" customHeight="false" outlineLevel="0" collapsed="false">
      <c r="B239" s="9"/>
      <c r="C239" s="9"/>
      <c r="D239" s="9"/>
      <c r="E239" s="9"/>
      <c r="F239" s="9"/>
      <c r="G239" s="9"/>
      <c r="H239" s="9"/>
    </row>
    <row r="240" customFormat="false" ht="14.25" hidden="false" customHeight="false" outlineLevel="0" collapsed="false">
      <c r="B240" s="9"/>
      <c r="C240" s="9"/>
      <c r="D240" s="9"/>
      <c r="E240" s="9"/>
      <c r="F240" s="9"/>
      <c r="G240" s="9"/>
      <c r="H240" s="9"/>
    </row>
    <row r="241" customFormat="false" ht="14.25" hidden="false" customHeight="false" outlineLevel="0" collapsed="false">
      <c r="B241" s="9"/>
      <c r="C241" s="9"/>
      <c r="D241" s="9"/>
      <c r="E241" s="9"/>
      <c r="F241" s="9"/>
      <c r="G241" s="9"/>
      <c r="H241" s="9"/>
    </row>
    <row r="242" customFormat="false" ht="14.25" hidden="false" customHeight="false" outlineLevel="0" collapsed="false">
      <c r="B242" s="9"/>
      <c r="C242" s="9"/>
      <c r="D242" s="9"/>
      <c r="E242" s="9"/>
      <c r="F242" s="9"/>
      <c r="G242" s="9"/>
      <c r="H242" s="9"/>
    </row>
    <row r="243" customFormat="false" ht="14.25" hidden="false" customHeight="false" outlineLevel="0" collapsed="false">
      <c r="B243" s="9"/>
      <c r="C243" s="9"/>
      <c r="D243" s="9"/>
      <c r="E243" s="9"/>
      <c r="F243" s="9"/>
      <c r="G243" s="9"/>
      <c r="H243" s="9"/>
    </row>
    <row r="244" customFormat="false" ht="14.25" hidden="false" customHeight="false" outlineLevel="0" collapsed="false">
      <c r="B244" s="9"/>
      <c r="C244" s="9"/>
      <c r="D244" s="9"/>
      <c r="E244" s="9"/>
      <c r="F244" s="9"/>
      <c r="G244" s="9"/>
      <c r="H244" s="9"/>
    </row>
    <row r="245" customFormat="false" ht="14.25" hidden="false" customHeight="false" outlineLevel="0" collapsed="false">
      <c r="B245" s="9"/>
      <c r="C245" s="9"/>
      <c r="D245" s="9"/>
      <c r="E245" s="9"/>
      <c r="F245" s="9"/>
      <c r="G245" s="9"/>
      <c r="H245" s="9"/>
    </row>
    <row r="246" customFormat="false" ht="14.25" hidden="false" customHeight="false" outlineLevel="0" collapsed="false">
      <c r="B246" s="9"/>
      <c r="C246" s="9"/>
      <c r="D246" s="9"/>
      <c r="E246" s="9"/>
      <c r="F246" s="9"/>
      <c r="G246" s="9"/>
      <c r="H246" s="9"/>
    </row>
    <row r="247" customFormat="false" ht="14.25" hidden="false" customHeight="false" outlineLevel="0" collapsed="false">
      <c r="B247" s="9"/>
      <c r="C247" s="9"/>
      <c r="D247" s="9"/>
      <c r="E247" s="9"/>
      <c r="F247" s="9"/>
      <c r="G247" s="9"/>
      <c r="H247" s="9"/>
    </row>
    <row r="248" customFormat="false" ht="14.25" hidden="false" customHeight="false" outlineLevel="0" collapsed="false">
      <c r="B248" s="9"/>
      <c r="C248" s="9"/>
      <c r="D248" s="9"/>
      <c r="E248" s="9"/>
      <c r="F248" s="9"/>
      <c r="G248" s="9"/>
      <c r="H248" s="9"/>
    </row>
    <row r="249" customFormat="false" ht="14.25" hidden="false" customHeight="false" outlineLevel="0" collapsed="false">
      <c r="B249" s="9"/>
      <c r="C249" s="9"/>
      <c r="D249" s="9"/>
      <c r="E249" s="9"/>
      <c r="F249" s="9"/>
      <c r="G249" s="9"/>
      <c r="H249" s="9"/>
    </row>
    <row r="250" customFormat="false" ht="14.25" hidden="false" customHeight="false" outlineLevel="0" collapsed="false">
      <c r="B250" s="9"/>
      <c r="C250" s="9"/>
      <c r="D250" s="9"/>
      <c r="E250" s="9"/>
      <c r="F250" s="9"/>
      <c r="G250" s="9"/>
      <c r="H250" s="9"/>
    </row>
    <row r="251" customFormat="false" ht="14.25" hidden="false" customHeight="false" outlineLevel="0" collapsed="false">
      <c r="B251" s="9"/>
      <c r="C251" s="9"/>
      <c r="D251" s="9"/>
      <c r="E251" s="9"/>
      <c r="F251" s="9"/>
      <c r="G251" s="9"/>
      <c r="H251" s="9"/>
    </row>
    <row r="252" customFormat="false" ht="14.25" hidden="false" customHeight="false" outlineLevel="0" collapsed="false">
      <c r="B252" s="9"/>
      <c r="C252" s="9"/>
      <c r="D252" s="9"/>
      <c r="E252" s="9"/>
      <c r="F252" s="9"/>
      <c r="G252" s="9"/>
      <c r="H252" s="9"/>
    </row>
    <row r="253" customFormat="false" ht="14.25" hidden="false" customHeight="false" outlineLevel="0" collapsed="false">
      <c r="B253" s="9"/>
      <c r="C253" s="9"/>
      <c r="D253" s="9"/>
      <c r="E253" s="9"/>
      <c r="F253" s="9"/>
      <c r="G253" s="9"/>
      <c r="H253" s="9"/>
    </row>
    <row r="254" customFormat="false" ht="14.25" hidden="false" customHeight="false" outlineLevel="0" collapsed="false">
      <c r="B254" s="9"/>
      <c r="C254" s="9"/>
      <c r="D254" s="9"/>
      <c r="E254" s="9"/>
      <c r="F254" s="9"/>
      <c r="G254" s="9"/>
      <c r="H254" s="9"/>
    </row>
    <row r="255" customFormat="false" ht="14.25" hidden="false" customHeight="false" outlineLevel="0" collapsed="false">
      <c r="B255" s="9"/>
      <c r="C255" s="9"/>
      <c r="D255" s="9"/>
      <c r="E255" s="9"/>
      <c r="F255" s="9"/>
      <c r="G255" s="9"/>
      <c r="H255" s="9"/>
    </row>
    <row r="256" customFormat="false" ht="14.25" hidden="false" customHeight="false" outlineLevel="0" collapsed="false">
      <c r="B256" s="9"/>
      <c r="C256" s="9"/>
      <c r="D256" s="9"/>
      <c r="E256" s="9"/>
      <c r="F256" s="9"/>
      <c r="G256" s="9"/>
      <c r="H256" s="9"/>
    </row>
    <row r="257" customFormat="false" ht="14.25" hidden="false" customHeight="false" outlineLevel="0" collapsed="false">
      <c r="B257" s="9"/>
      <c r="C257" s="9"/>
      <c r="D257" s="9"/>
      <c r="E257" s="9"/>
      <c r="F257" s="9"/>
      <c r="G257" s="9"/>
      <c r="H257" s="9"/>
    </row>
    <row r="258" customFormat="false" ht="14.25" hidden="false" customHeight="false" outlineLevel="0" collapsed="false">
      <c r="B258" s="9"/>
      <c r="C258" s="9"/>
      <c r="D258" s="9"/>
      <c r="E258" s="9"/>
      <c r="F258" s="9"/>
      <c r="G258" s="9"/>
      <c r="H258" s="9"/>
    </row>
    <row r="259" customFormat="false" ht="14.25" hidden="false" customHeight="false" outlineLevel="0" collapsed="false">
      <c r="B259" s="9"/>
      <c r="C259" s="9"/>
      <c r="D259" s="9"/>
      <c r="E259" s="9"/>
      <c r="F259" s="9"/>
      <c r="G259" s="9"/>
      <c r="H259" s="9"/>
    </row>
    <row r="260" customFormat="false" ht="14.25" hidden="false" customHeight="false" outlineLevel="0" collapsed="false">
      <c r="B260" s="9"/>
      <c r="C260" s="9"/>
      <c r="D260" s="9"/>
      <c r="E260" s="9"/>
      <c r="F260" s="9"/>
      <c r="G260" s="9"/>
      <c r="H260" s="9"/>
    </row>
    <row r="261" customFormat="false" ht="14.25" hidden="false" customHeight="false" outlineLevel="0" collapsed="false">
      <c r="B261" s="9"/>
      <c r="C261" s="9"/>
      <c r="D261" s="9"/>
      <c r="E261" s="9"/>
      <c r="F261" s="9"/>
      <c r="G261" s="9"/>
      <c r="H261" s="9"/>
    </row>
    <row r="262" customFormat="false" ht="14.25" hidden="false" customHeight="false" outlineLevel="0" collapsed="false">
      <c r="B262" s="9"/>
      <c r="C262" s="9"/>
      <c r="D262" s="9"/>
      <c r="E262" s="9"/>
      <c r="F262" s="9"/>
      <c r="G262" s="9"/>
      <c r="H262" s="9"/>
    </row>
    <row r="263" customFormat="false" ht="14.25" hidden="false" customHeight="false" outlineLevel="0" collapsed="false">
      <c r="B263" s="9"/>
      <c r="C263" s="9"/>
      <c r="D263" s="9"/>
      <c r="E263" s="9"/>
      <c r="F263" s="9"/>
      <c r="G263" s="9"/>
      <c r="H263" s="9"/>
    </row>
    <row r="264" customFormat="false" ht="14.25" hidden="false" customHeight="false" outlineLevel="0" collapsed="false">
      <c r="B264" s="9"/>
      <c r="C264" s="9"/>
      <c r="D264" s="9"/>
      <c r="E264" s="9"/>
      <c r="F264" s="9"/>
      <c r="G264" s="9"/>
      <c r="H264" s="9"/>
    </row>
    <row r="265" customFormat="false" ht="14.25" hidden="false" customHeight="false" outlineLevel="0" collapsed="false">
      <c r="B265" s="9"/>
      <c r="C265" s="9"/>
      <c r="D265" s="9"/>
      <c r="E265" s="9"/>
      <c r="F265" s="9"/>
      <c r="G265" s="9"/>
      <c r="H265" s="9"/>
    </row>
    <row r="266" customFormat="false" ht="14.25" hidden="false" customHeight="false" outlineLevel="0" collapsed="false">
      <c r="B266" s="9"/>
      <c r="C266" s="9"/>
      <c r="D266" s="9"/>
      <c r="E266" s="9"/>
      <c r="F266" s="9"/>
      <c r="G266" s="9"/>
      <c r="H266" s="9"/>
    </row>
    <row r="267" customFormat="false" ht="14.25" hidden="false" customHeight="false" outlineLevel="0" collapsed="false">
      <c r="B267" s="9"/>
      <c r="C267" s="9"/>
      <c r="D267" s="9"/>
      <c r="E267" s="9"/>
      <c r="F267" s="9"/>
      <c r="G267" s="9"/>
      <c r="H267" s="9"/>
    </row>
    <row r="268" customFormat="false" ht="14.25" hidden="false" customHeight="false" outlineLevel="0" collapsed="false">
      <c r="B268" s="9"/>
      <c r="C268" s="9"/>
      <c r="D268" s="9"/>
      <c r="E268" s="9"/>
      <c r="F268" s="9"/>
      <c r="G268" s="9"/>
      <c r="H268" s="9"/>
    </row>
    <row r="269" customFormat="false" ht="14.25" hidden="false" customHeight="false" outlineLevel="0" collapsed="false">
      <c r="B269" s="9"/>
      <c r="C269" s="9"/>
      <c r="D269" s="9"/>
      <c r="E269" s="9"/>
      <c r="F269" s="9"/>
      <c r="G269" s="9"/>
      <c r="H269" s="9"/>
    </row>
    <row r="270" customFormat="false" ht="14.25" hidden="false" customHeight="false" outlineLevel="0" collapsed="false">
      <c r="B270" s="9"/>
      <c r="C270" s="9"/>
      <c r="D270" s="9"/>
      <c r="E270" s="9"/>
      <c r="F270" s="9"/>
      <c r="G270" s="9"/>
      <c r="H270" s="9"/>
    </row>
    <row r="271" customFormat="false" ht="14.25" hidden="false" customHeight="false" outlineLevel="0" collapsed="false">
      <c r="B271" s="9"/>
      <c r="C271" s="9"/>
      <c r="D271" s="9"/>
      <c r="E271" s="9"/>
      <c r="F271" s="9"/>
      <c r="G271" s="9"/>
      <c r="H271" s="9"/>
    </row>
    <row r="272" customFormat="false" ht="14.25" hidden="false" customHeight="false" outlineLevel="0" collapsed="false">
      <c r="B272" s="9"/>
      <c r="C272" s="9"/>
      <c r="D272" s="9"/>
      <c r="E272" s="9"/>
      <c r="F272" s="9"/>
      <c r="G272" s="9"/>
      <c r="H272" s="9"/>
    </row>
    <row r="273" customFormat="false" ht="14.25" hidden="false" customHeight="false" outlineLevel="0" collapsed="false">
      <c r="B273" s="9"/>
      <c r="C273" s="9"/>
      <c r="D273" s="9"/>
      <c r="E273" s="9"/>
      <c r="F273" s="9"/>
      <c r="G273" s="9"/>
      <c r="H273" s="9"/>
    </row>
    <row r="274" customFormat="false" ht="14.25" hidden="false" customHeight="false" outlineLevel="0" collapsed="false">
      <c r="B274" s="9"/>
      <c r="C274" s="9"/>
      <c r="D274" s="9"/>
      <c r="E274" s="9"/>
      <c r="F274" s="9"/>
      <c r="G274" s="9"/>
      <c r="H274" s="9"/>
    </row>
    <row r="275" customFormat="false" ht="14.25" hidden="false" customHeight="false" outlineLevel="0" collapsed="false">
      <c r="B275" s="9"/>
      <c r="C275" s="9"/>
      <c r="D275" s="9"/>
      <c r="E275" s="9"/>
      <c r="F275" s="9"/>
      <c r="G275" s="9"/>
      <c r="H275" s="9"/>
    </row>
    <row r="276" customFormat="false" ht="14.25" hidden="false" customHeight="false" outlineLevel="0" collapsed="false">
      <c r="B276" s="9"/>
      <c r="C276" s="9"/>
      <c r="D276" s="9"/>
      <c r="E276" s="9"/>
      <c r="F276" s="9"/>
      <c r="G276" s="9"/>
      <c r="H276" s="9"/>
    </row>
    <row r="277" customFormat="false" ht="14.25" hidden="false" customHeight="false" outlineLevel="0" collapsed="false">
      <c r="B277" s="9"/>
      <c r="C277" s="9"/>
      <c r="D277" s="9"/>
      <c r="E277" s="9"/>
      <c r="F277" s="9"/>
      <c r="G277" s="9"/>
      <c r="H277" s="9"/>
    </row>
    <row r="278" customFormat="false" ht="14.25" hidden="false" customHeight="false" outlineLevel="0" collapsed="false">
      <c r="B278" s="9"/>
      <c r="C278" s="9"/>
      <c r="D278" s="9"/>
      <c r="E278" s="9"/>
      <c r="F278" s="9"/>
      <c r="G278" s="9"/>
      <c r="H278" s="9"/>
    </row>
    <row r="279" customFormat="false" ht="14.25" hidden="false" customHeight="false" outlineLevel="0" collapsed="false">
      <c r="B279" s="9"/>
      <c r="C279" s="9"/>
      <c r="D279" s="9"/>
      <c r="E279" s="9"/>
      <c r="F279" s="9"/>
      <c r="G279" s="9"/>
      <c r="H279" s="9"/>
    </row>
    <row r="280" customFormat="false" ht="14.25" hidden="false" customHeight="false" outlineLevel="0" collapsed="false">
      <c r="B280" s="9"/>
      <c r="C280" s="9"/>
      <c r="D280" s="9"/>
      <c r="E280" s="9"/>
      <c r="F280" s="9"/>
      <c r="G280" s="9"/>
      <c r="H280" s="9"/>
    </row>
    <row r="281" customFormat="false" ht="14.25" hidden="false" customHeight="false" outlineLevel="0" collapsed="false">
      <c r="B281" s="9"/>
      <c r="C281" s="9"/>
      <c r="D281" s="9"/>
      <c r="E281" s="9"/>
      <c r="F281" s="9"/>
      <c r="G281" s="9"/>
      <c r="H281" s="9"/>
    </row>
  </sheetData>
  <autoFilter ref="A1:H281"/>
  <printOptions headings="false" gridLines="false" gridLinesSet="true" horizontalCentered="false" verticalCentered="false"/>
  <pageMargins left="0.7" right="0.7" top="0.7875" bottom="0.78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ISC - Uso INTERNO / INTERNAL Use</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86"/>
  <sheetViews>
    <sheetView showFormulas="false" showGridLines="true" showRowColHeaders="true" showZeros="true" rightToLeft="false" tabSelected="true" showOutlineSymbols="true" defaultGridColor="true" view="normal" topLeftCell="A237" colorId="64" zoomScale="90" zoomScaleNormal="90" zoomScalePageLayoutView="100" workbookViewId="0">
      <selection pane="topLeft" activeCell="A285" activeCellId="0" sqref="A285"/>
    </sheetView>
  </sheetViews>
  <sheetFormatPr defaultColWidth="11.53515625" defaultRowHeight="12.8" customHeight="false" zeroHeight="false" outlineLevelRow="0" outlineLevelCol="0"/>
  <sheetData>
    <row r="1" customFormat="false" ht="13.8" hidden="false" customHeight="false" outlineLevel="0" collapsed="false">
      <c r="A1" s="1" t="s">
        <v>542</v>
      </c>
      <c r="B1" s="1" t="s">
        <v>543</v>
      </c>
      <c r="C1" s="1" t="s">
        <v>544</v>
      </c>
      <c r="D1" s="1" t="s">
        <v>545</v>
      </c>
      <c r="E1" s="1" t="s">
        <v>546</v>
      </c>
    </row>
    <row r="2" customFormat="false" ht="13.8" hidden="false" customHeight="false" outlineLevel="0" collapsed="false">
      <c r="A2" s="1" t="str">
        <f aca="false">LEFT('1. Elec Ref Grid'!A2,FIND("-",'1. Elec Ref Grid'!A2)-1)</f>
        <v>AL00</v>
      </c>
      <c r="B2" s="1" t="str">
        <f aca="false">RIGHT('1. Elec Ref Grid'!A2,LEN('1. Elec Ref Grid'!A2)-FIND("-",'1. Elec Ref Grid'!A2))</f>
        <v>GR00</v>
      </c>
      <c r="C2" s="1" t="s">
        <v>547</v>
      </c>
      <c r="D2" s="1" t="s">
        <v>548</v>
      </c>
      <c r="E2" s="1" t="n">
        <f aca="false">'1. Elec Ref Grid'!B2</f>
        <v>600</v>
      </c>
    </row>
    <row r="3" customFormat="false" ht="13.8" hidden="false" customHeight="false" outlineLevel="0" collapsed="false">
      <c r="A3" s="1" t="str">
        <f aca="false">LEFT('1. Elec Ref Grid'!A3,FIND("-",'1. Elec Ref Grid'!A3)-1)</f>
        <v>AL00</v>
      </c>
      <c r="B3" s="1" t="str">
        <f aca="false">RIGHT('1. Elec Ref Grid'!A3,LEN('1. Elec Ref Grid'!A3)-FIND("-",'1. Elec Ref Grid'!A3))</f>
        <v>ME00</v>
      </c>
      <c r="C3" s="1" t="s">
        <v>547</v>
      </c>
      <c r="D3" s="1" t="s">
        <v>548</v>
      </c>
      <c r="E3" s="1" t="n">
        <f aca="false">'1. Elec Ref Grid'!B3</f>
        <v>400</v>
      </c>
    </row>
    <row r="4" customFormat="false" ht="13.8" hidden="false" customHeight="false" outlineLevel="0" collapsed="false">
      <c r="A4" s="1" t="str">
        <f aca="false">LEFT('1. Elec Ref Grid'!A4,FIND("-",'1. Elec Ref Grid'!A4)-1)</f>
        <v>AL00</v>
      </c>
      <c r="B4" s="1" t="str">
        <f aca="false">RIGHT('1. Elec Ref Grid'!A4,LEN('1. Elec Ref Grid'!A4)-FIND("-",'1. Elec Ref Grid'!A4))</f>
        <v>MK00</v>
      </c>
      <c r="C4" s="1" t="s">
        <v>547</v>
      </c>
      <c r="D4" s="1" t="s">
        <v>548</v>
      </c>
      <c r="E4" s="1" t="n">
        <f aca="false">'1. Elec Ref Grid'!B4</f>
        <v>500</v>
      </c>
    </row>
    <row r="5" customFormat="false" ht="13.8" hidden="false" customHeight="false" outlineLevel="0" collapsed="false">
      <c r="A5" s="1" t="str">
        <f aca="false">LEFT('1. Elec Ref Grid'!A5,FIND("-",'1. Elec Ref Grid'!A5)-1)</f>
        <v>AL00</v>
      </c>
      <c r="B5" s="1" t="str">
        <f aca="false">RIGHT('1. Elec Ref Grid'!A5,LEN('1. Elec Ref Grid'!A5)-FIND("-",'1. Elec Ref Grid'!A5))</f>
        <v>RS00</v>
      </c>
      <c r="C5" s="1" t="s">
        <v>547</v>
      </c>
      <c r="D5" s="1" t="s">
        <v>548</v>
      </c>
      <c r="E5" s="1" t="n">
        <f aca="false">'1. Elec Ref Grid'!B5</f>
        <v>250</v>
      </c>
    </row>
    <row r="6" customFormat="false" ht="13.8" hidden="false" customHeight="false" outlineLevel="0" collapsed="false">
      <c r="A6" s="1" t="str">
        <f aca="false">LEFT('1. Elec Ref Grid'!A6,FIND("-",'1. Elec Ref Grid'!A6)-1)</f>
        <v>AT00</v>
      </c>
      <c r="B6" s="1" t="str">
        <f aca="false">RIGHT('1. Elec Ref Grid'!A6,LEN('1. Elec Ref Grid'!A6)-FIND("-",'1. Elec Ref Grid'!A6))</f>
        <v>CH00</v>
      </c>
      <c r="C6" s="1" t="s">
        <v>547</v>
      </c>
      <c r="D6" s="1" t="s">
        <v>548</v>
      </c>
      <c r="E6" s="1" t="n">
        <f aca="false">'1. Elec Ref Grid'!B6</f>
        <v>1200</v>
      </c>
    </row>
    <row r="7" customFormat="false" ht="13.8" hidden="false" customHeight="false" outlineLevel="0" collapsed="false">
      <c r="A7" s="1" t="str">
        <f aca="false">LEFT('1. Elec Ref Grid'!A7,FIND("-",'1. Elec Ref Grid'!A7)-1)</f>
        <v>AT00</v>
      </c>
      <c r="B7" s="1" t="str">
        <f aca="false">RIGHT('1. Elec Ref Grid'!A7,LEN('1. Elec Ref Grid'!A7)-FIND("-",'1. Elec Ref Grid'!A7))</f>
        <v>CZ00</v>
      </c>
      <c r="C7" s="1" t="s">
        <v>547</v>
      </c>
      <c r="D7" s="1" t="s">
        <v>548</v>
      </c>
      <c r="E7" s="1" t="n">
        <f aca="false">'1. Elec Ref Grid'!B7</f>
        <v>900</v>
      </c>
    </row>
    <row r="8" customFormat="false" ht="13.8" hidden="false" customHeight="false" outlineLevel="0" collapsed="false">
      <c r="A8" s="1" t="str">
        <f aca="false">LEFT('1. Elec Ref Grid'!A8,FIND("-",'1. Elec Ref Grid'!A8)-1)</f>
        <v>AT00</v>
      </c>
      <c r="B8" s="1" t="str">
        <f aca="false">RIGHT('1. Elec Ref Grid'!A8,LEN('1. Elec Ref Grid'!A8)-FIND("-",'1. Elec Ref Grid'!A8))</f>
        <v>DE00</v>
      </c>
      <c r="C8" s="1" t="s">
        <v>547</v>
      </c>
      <c r="D8" s="1" t="s">
        <v>548</v>
      </c>
      <c r="E8" s="1" t="n">
        <f aca="false">'1. Elec Ref Grid'!B8</f>
        <v>7500</v>
      </c>
    </row>
    <row r="9" customFormat="false" ht="13.8" hidden="false" customHeight="false" outlineLevel="0" collapsed="false">
      <c r="A9" s="1" t="str">
        <f aca="false">LEFT('1. Elec Ref Grid'!A9,FIND("-",'1. Elec Ref Grid'!A9)-1)</f>
        <v>AT00</v>
      </c>
      <c r="B9" s="1" t="str">
        <f aca="false">RIGHT('1. Elec Ref Grid'!A9,LEN('1. Elec Ref Grid'!A9)-FIND("-",'1. Elec Ref Grid'!A9))</f>
        <v>HU00</v>
      </c>
      <c r="C9" s="1" t="s">
        <v>547</v>
      </c>
      <c r="D9" s="1" t="s">
        <v>548</v>
      </c>
      <c r="E9" s="1" t="n">
        <f aca="false">'1. Elec Ref Grid'!B9</f>
        <v>800</v>
      </c>
    </row>
    <row r="10" customFormat="false" ht="13.8" hidden="false" customHeight="false" outlineLevel="0" collapsed="false">
      <c r="A10" s="1" t="str">
        <f aca="false">LEFT('1. Elec Ref Grid'!A10,FIND("-",'1. Elec Ref Grid'!A10)-1)</f>
        <v>AT00</v>
      </c>
      <c r="B10" s="1" t="str">
        <f aca="false">RIGHT('1. Elec Ref Grid'!A10,LEN('1. Elec Ref Grid'!A10)-FIND("-",'1. Elec Ref Grid'!A10))</f>
        <v>ITN1</v>
      </c>
      <c r="C10" s="1" t="s">
        <v>547</v>
      </c>
      <c r="D10" s="1" t="s">
        <v>548</v>
      </c>
      <c r="E10" s="1" t="n">
        <f aca="false">'1. Elec Ref Grid'!B10</f>
        <v>875</v>
      </c>
    </row>
    <row r="11" customFormat="false" ht="13.8" hidden="false" customHeight="false" outlineLevel="0" collapsed="false">
      <c r="A11" s="1" t="str">
        <f aca="false">LEFT('1. Elec Ref Grid'!A11,FIND("-",'1. Elec Ref Grid'!A11)-1)</f>
        <v>AT00</v>
      </c>
      <c r="B11" s="1" t="str">
        <f aca="false">RIGHT('1. Elec Ref Grid'!A11,LEN('1. Elec Ref Grid'!A11)-FIND("-",'1. Elec Ref Grid'!A11))</f>
        <v>SI00</v>
      </c>
      <c r="C11" s="1" t="s">
        <v>547</v>
      </c>
      <c r="D11" s="1" t="s">
        <v>548</v>
      </c>
      <c r="E11" s="1" t="n">
        <f aca="false">'1. Elec Ref Grid'!B11</f>
        <v>950</v>
      </c>
    </row>
    <row r="12" customFormat="false" ht="13.8" hidden="false" customHeight="false" outlineLevel="0" collapsed="false">
      <c r="A12" s="1" t="str">
        <f aca="false">LEFT('1. Elec Ref Grid'!A12,FIND("-",'1. Elec Ref Grid'!A12)-1)</f>
        <v>AT00</v>
      </c>
      <c r="B12" s="1" t="str">
        <f aca="false">RIGHT('1. Elec Ref Grid'!A12,LEN('1. Elec Ref Grid'!A12)-FIND("-",'1. Elec Ref Grid'!A12))</f>
        <v>SK00</v>
      </c>
      <c r="C12" s="1" t="s">
        <v>547</v>
      </c>
      <c r="D12" s="1" t="s">
        <v>548</v>
      </c>
      <c r="E12" s="1" t="n">
        <f aca="false">'1. Elec Ref Grid'!B12</f>
        <v>0</v>
      </c>
    </row>
    <row r="13" customFormat="false" ht="13.8" hidden="false" customHeight="false" outlineLevel="0" collapsed="false">
      <c r="A13" s="1" t="str">
        <f aca="false">LEFT('1. Elec Ref Grid'!A13,FIND("-",'1. Elec Ref Grid'!A13)-1)</f>
        <v>BA00</v>
      </c>
      <c r="B13" s="1" t="str">
        <f aca="false">RIGHT('1. Elec Ref Grid'!A13,LEN('1. Elec Ref Grid'!A13)-FIND("-",'1. Elec Ref Grid'!A13))</f>
        <v>HR00</v>
      </c>
      <c r="C13" s="1" t="s">
        <v>547</v>
      </c>
      <c r="D13" s="1" t="s">
        <v>548</v>
      </c>
      <c r="E13" s="1" t="n">
        <f aca="false">'1. Elec Ref Grid'!B13</f>
        <v>900</v>
      </c>
    </row>
    <row r="14" customFormat="false" ht="13.8" hidden="false" customHeight="false" outlineLevel="0" collapsed="false">
      <c r="A14" s="1" t="str">
        <f aca="false">LEFT('1. Elec Ref Grid'!A14,FIND("-",'1. Elec Ref Grid'!A14)-1)</f>
        <v>BA00</v>
      </c>
      <c r="B14" s="1" t="str">
        <f aca="false">RIGHT('1. Elec Ref Grid'!A14,LEN('1. Elec Ref Grid'!A14)-FIND("-",'1. Elec Ref Grid'!A14))</f>
        <v>ME00</v>
      </c>
      <c r="C14" s="1" t="s">
        <v>547</v>
      </c>
      <c r="D14" s="1" t="s">
        <v>548</v>
      </c>
      <c r="E14" s="1" t="n">
        <f aca="false">'1. Elec Ref Grid'!B14</f>
        <v>500</v>
      </c>
    </row>
    <row r="15" customFormat="false" ht="13.8" hidden="false" customHeight="false" outlineLevel="0" collapsed="false">
      <c r="A15" s="1" t="str">
        <f aca="false">LEFT('1. Elec Ref Grid'!A15,FIND("-",'1. Elec Ref Grid'!A15)-1)</f>
        <v>BA00</v>
      </c>
      <c r="B15" s="1" t="str">
        <f aca="false">RIGHT('1. Elec Ref Grid'!A15,LEN('1. Elec Ref Grid'!A15)-FIND("-",'1. Elec Ref Grid'!A15))</f>
        <v>RS00</v>
      </c>
      <c r="C15" s="1" t="s">
        <v>547</v>
      </c>
      <c r="D15" s="1" t="s">
        <v>548</v>
      </c>
      <c r="E15" s="1" t="n">
        <f aca="false">'1. Elec Ref Grid'!B15</f>
        <v>1640</v>
      </c>
    </row>
    <row r="16" customFormat="false" ht="13.8" hidden="false" customHeight="false" outlineLevel="0" collapsed="false">
      <c r="A16" s="1" t="str">
        <f aca="false">LEFT('1. Elec Ref Grid'!A16,FIND("-",'1. Elec Ref Grid'!A16)-1)</f>
        <v>BE00</v>
      </c>
      <c r="B16" s="1" t="str">
        <f aca="false">RIGHT('1. Elec Ref Grid'!A16,LEN('1. Elec Ref Grid'!A16)-FIND("-",'1. Elec Ref Grid'!A16))</f>
        <v>DE00</v>
      </c>
      <c r="C16" s="1" t="s">
        <v>547</v>
      </c>
      <c r="D16" s="1" t="s">
        <v>548</v>
      </c>
      <c r="E16" s="1" t="n">
        <f aca="false">'1. Elec Ref Grid'!B16</f>
        <v>1000</v>
      </c>
    </row>
    <row r="17" customFormat="false" ht="13.8" hidden="false" customHeight="false" outlineLevel="0" collapsed="false">
      <c r="A17" s="1" t="str">
        <f aca="false">LEFT('1. Elec Ref Grid'!A17,FIND("-",'1. Elec Ref Grid'!A17)-1)</f>
        <v>BE00</v>
      </c>
      <c r="B17" s="1" t="str">
        <f aca="false">RIGHT('1. Elec Ref Grid'!A17,LEN('1. Elec Ref Grid'!A17)-FIND("-",'1. Elec Ref Grid'!A17))</f>
        <v>FR00</v>
      </c>
      <c r="C17" s="1" t="s">
        <v>547</v>
      </c>
      <c r="D17" s="1" t="s">
        <v>548</v>
      </c>
      <c r="E17" s="1" t="n">
        <f aca="false">'1. Elec Ref Grid'!B17</f>
        <v>2800</v>
      </c>
    </row>
    <row r="18" customFormat="false" ht="13.8" hidden="false" customHeight="false" outlineLevel="0" collapsed="false">
      <c r="A18" s="1" t="str">
        <f aca="false">LEFT('1. Elec Ref Grid'!A18,FIND("-",'1. Elec Ref Grid'!A18)-1)</f>
        <v>BE00</v>
      </c>
      <c r="B18" s="1" t="str">
        <f aca="false">RIGHT('1. Elec Ref Grid'!A18,LEN('1. Elec Ref Grid'!A18)-FIND("-",'1. Elec Ref Grid'!A18))</f>
        <v>LUB1</v>
      </c>
      <c r="C18" s="1" t="s">
        <v>547</v>
      </c>
      <c r="D18" s="1" t="s">
        <v>548</v>
      </c>
      <c r="E18" s="1" t="n">
        <f aca="false">'1. Elec Ref Grid'!B18</f>
        <v>380</v>
      </c>
    </row>
    <row r="19" customFormat="false" ht="13.8" hidden="false" customHeight="false" outlineLevel="0" collapsed="false">
      <c r="A19" s="1" t="str">
        <f aca="false">LEFT('1. Elec Ref Grid'!A19,FIND("-",'1. Elec Ref Grid'!A19)-1)</f>
        <v>BE00</v>
      </c>
      <c r="B19" s="1" t="str">
        <f aca="false">RIGHT('1. Elec Ref Grid'!A19,LEN('1. Elec Ref Grid'!A19)-FIND("-",'1. Elec Ref Grid'!A19))</f>
        <v>LUG1</v>
      </c>
      <c r="C19" s="1" t="s">
        <v>547</v>
      </c>
      <c r="D19" s="1" t="s">
        <v>548</v>
      </c>
      <c r="E19" s="1" t="n">
        <f aca="false">'1. Elec Ref Grid'!B19</f>
        <v>300</v>
      </c>
    </row>
    <row r="20" customFormat="false" ht="13.8" hidden="false" customHeight="false" outlineLevel="0" collapsed="false">
      <c r="A20" s="1" t="str">
        <f aca="false">LEFT('1. Elec Ref Grid'!A20,FIND("-",'1. Elec Ref Grid'!A20)-1)</f>
        <v>BE00</v>
      </c>
      <c r="B20" s="1" t="str">
        <f aca="false">RIGHT('1. Elec Ref Grid'!A20,LEN('1. Elec Ref Grid'!A20)-FIND("-",'1. Elec Ref Grid'!A20))</f>
        <v>NL00</v>
      </c>
      <c r="C20" s="1" t="s">
        <v>547</v>
      </c>
      <c r="D20" s="1" t="s">
        <v>548</v>
      </c>
      <c r="E20" s="1" t="n">
        <f aca="false">'1. Elec Ref Grid'!B20</f>
        <v>3400</v>
      </c>
    </row>
    <row r="21" customFormat="false" ht="13.8" hidden="false" customHeight="false" outlineLevel="0" collapsed="false">
      <c r="A21" s="1" t="str">
        <f aca="false">LEFT('1. Elec Ref Grid'!A21,FIND("-",'1. Elec Ref Grid'!A21)-1)</f>
        <v>BE00</v>
      </c>
      <c r="B21" s="1" t="str">
        <f aca="false">RIGHT('1. Elec Ref Grid'!A21,LEN('1. Elec Ref Grid'!A21)-FIND("-",'1. Elec Ref Grid'!A21))</f>
        <v>UK00</v>
      </c>
      <c r="C21" s="1" t="s">
        <v>547</v>
      </c>
      <c r="D21" s="1" t="s">
        <v>548</v>
      </c>
      <c r="E21" s="1" t="n">
        <f aca="false">'1. Elec Ref Grid'!B21</f>
        <v>1000</v>
      </c>
    </row>
    <row r="22" customFormat="false" ht="13.8" hidden="false" customHeight="false" outlineLevel="0" collapsed="false">
      <c r="A22" s="1" t="str">
        <f aca="false">LEFT('1. Elec Ref Grid'!A22,FIND("-",'1. Elec Ref Grid'!A22)-1)</f>
        <v>BG00</v>
      </c>
      <c r="B22" s="1" t="str">
        <f aca="false">RIGHT('1. Elec Ref Grid'!A22,LEN('1. Elec Ref Grid'!A22)-FIND("-",'1. Elec Ref Grid'!A22))</f>
        <v>GR00</v>
      </c>
      <c r="C22" s="1" t="s">
        <v>547</v>
      </c>
      <c r="D22" s="1" t="s">
        <v>548</v>
      </c>
      <c r="E22" s="1" t="n">
        <f aca="false">'1. Elec Ref Grid'!B22</f>
        <v>1700</v>
      </c>
    </row>
    <row r="23" customFormat="false" ht="13.8" hidden="false" customHeight="false" outlineLevel="0" collapsed="false">
      <c r="A23" s="1" t="str">
        <f aca="false">LEFT('1. Elec Ref Grid'!A23,FIND("-",'1. Elec Ref Grid'!A23)-1)</f>
        <v>BG00</v>
      </c>
      <c r="B23" s="1" t="str">
        <f aca="false">RIGHT('1. Elec Ref Grid'!A23,LEN('1. Elec Ref Grid'!A23)-FIND("-",'1. Elec Ref Grid'!A23))</f>
        <v>MK00</v>
      </c>
      <c r="C23" s="1" t="s">
        <v>547</v>
      </c>
      <c r="D23" s="1" t="s">
        <v>548</v>
      </c>
      <c r="E23" s="1" t="n">
        <f aca="false">'1. Elec Ref Grid'!B23</f>
        <v>400</v>
      </c>
    </row>
    <row r="24" customFormat="false" ht="13.8" hidden="false" customHeight="false" outlineLevel="0" collapsed="false">
      <c r="A24" s="1" t="str">
        <f aca="false">LEFT('1. Elec Ref Grid'!A24,FIND("-",'1. Elec Ref Grid'!A24)-1)</f>
        <v>BG00</v>
      </c>
      <c r="B24" s="1" t="str">
        <f aca="false">RIGHT('1. Elec Ref Grid'!A24,LEN('1. Elec Ref Grid'!A24)-FIND("-",'1. Elec Ref Grid'!A24))</f>
        <v>RO00</v>
      </c>
      <c r="C24" s="1" t="s">
        <v>547</v>
      </c>
      <c r="D24" s="1" t="s">
        <v>548</v>
      </c>
      <c r="E24" s="1" t="n">
        <f aca="false">'1. Elec Ref Grid'!B24</f>
        <v>2190</v>
      </c>
    </row>
    <row r="25" customFormat="false" ht="13.8" hidden="false" customHeight="false" outlineLevel="0" collapsed="false">
      <c r="A25" s="1" t="str">
        <f aca="false">LEFT('1. Elec Ref Grid'!A25,FIND("-",'1. Elec Ref Grid'!A25)-1)</f>
        <v>BG00</v>
      </c>
      <c r="B25" s="1" t="str">
        <f aca="false">RIGHT('1. Elec Ref Grid'!A25,LEN('1. Elec Ref Grid'!A25)-FIND("-",'1. Elec Ref Grid'!A25))</f>
        <v>RS00</v>
      </c>
      <c r="C25" s="1" t="s">
        <v>547</v>
      </c>
      <c r="D25" s="1" t="s">
        <v>548</v>
      </c>
      <c r="E25" s="1" t="n">
        <f aca="false">'1. Elec Ref Grid'!B25</f>
        <v>380</v>
      </c>
    </row>
    <row r="26" customFormat="false" ht="13.8" hidden="false" customHeight="false" outlineLevel="0" collapsed="false">
      <c r="A26" s="1" t="str">
        <f aca="false">LEFT('1. Elec Ref Grid'!A26,FIND("-",'1. Elec Ref Grid'!A26)-1)</f>
        <v>BG00</v>
      </c>
      <c r="B26" s="1" t="str">
        <f aca="false">RIGHT('1. Elec Ref Grid'!A26,LEN('1. Elec Ref Grid'!A26)-FIND("-",'1. Elec Ref Grid'!A26))</f>
        <v>TR00</v>
      </c>
      <c r="C26" s="1" t="s">
        <v>547</v>
      </c>
      <c r="D26" s="1" t="s">
        <v>548</v>
      </c>
      <c r="E26" s="1" t="n">
        <f aca="false">'1. Elec Ref Grid'!B26</f>
        <v>900</v>
      </c>
    </row>
    <row r="27" customFormat="false" ht="13.8" hidden="false" customHeight="false" outlineLevel="0" collapsed="false">
      <c r="A27" s="1" t="str">
        <f aca="false">LEFT('1. Elec Ref Grid'!A27,FIND("-",'1. Elec Ref Grid'!A27)-1)</f>
        <v>CH00</v>
      </c>
      <c r="B27" s="1" t="str">
        <f aca="false">RIGHT('1. Elec Ref Grid'!A27,LEN('1. Elec Ref Grid'!A27)-FIND("-",'1. Elec Ref Grid'!A27))</f>
        <v>DE00</v>
      </c>
      <c r="C27" s="1" t="s">
        <v>547</v>
      </c>
      <c r="D27" s="1" t="s">
        <v>548</v>
      </c>
      <c r="E27" s="1" t="n">
        <f aca="false">'1. Elec Ref Grid'!B27</f>
        <v>4200</v>
      </c>
    </row>
    <row r="28" customFormat="false" ht="13.8" hidden="false" customHeight="false" outlineLevel="0" collapsed="false">
      <c r="A28" s="1" t="str">
        <f aca="false">LEFT('1. Elec Ref Grid'!A28,FIND("-",'1. Elec Ref Grid'!A28)-1)</f>
        <v>CH00</v>
      </c>
      <c r="B28" s="1" t="str">
        <f aca="false">RIGHT('1. Elec Ref Grid'!A28,LEN('1. Elec Ref Grid'!A28)-FIND("-",'1. Elec Ref Grid'!A28))</f>
        <v>FR00</v>
      </c>
      <c r="C28" s="1" t="s">
        <v>547</v>
      </c>
      <c r="D28" s="1" t="s">
        <v>548</v>
      </c>
      <c r="E28" s="1" t="n">
        <f aca="false">'1. Elec Ref Grid'!B28</f>
        <v>2200</v>
      </c>
    </row>
    <row r="29" customFormat="false" ht="13.8" hidden="false" customHeight="false" outlineLevel="0" collapsed="false">
      <c r="A29" s="1" t="str">
        <f aca="false">LEFT('1. Elec Ref Grid'!A29,FIND("-",'1. Elec Ref Grid'!A29)-1)</f>
        <v>CH00</v>
      </c>
      <c r="B29" s="1" t="str">
        <f aca="false">RIGHT('1. Elec Ref Grid'!A29,LEN('1. Elec Ref Grid'!A29)-FIND("-",'1. Elec Ref Grid'!A29))</f>
        <v>ITN1</v>
      </c>
      <c r="C29" s="1" t="s">
        <v>547</v>
      </c>
      <c r="D29" s="1" t="s">
        <v>548</v>
      </c>
      <c r="E29" s="1" t="n">
        <f aca="false">'1. Elec Ref Grid'!B29</f>
        <v>5772</v>
      </c>
    </row>
    <row r="30" customFormat="false" ht="13.8" hidden="false" customHeight="false" outlineLevel="0" collapsed="false">
      <c r="A30" s="1" t="str">
        <f aca="false">LEFT('1. Elec Ref Grid'!A30,FIND("-",'1. Elec Ref Grid'!A30)-1)</f>
        <v>CY00</v>
      </c>
      <c r="B30" s="1" t="str">
        <f aca="false">RIGHT('1. Elec Ref Grid'!A30,LEN('1. Elec Ref Grid'!A30)-FIND("-",'1. Elec Ref Grid'!A30))</f>
        <v>EG00</v>
      </c>
      <c r="C30" s="1" t="s">
        <v>547</v>
      </c>
      <c r="D30" s="1" t="s">
        <v>548</v>
      </c>
      <c r="E30" s="1" t="n">
        <f aca="false">'1. Elec Ref Grid'!B30</f>
        <v>0</v>
      </c>
    </row>
    <row r="31" customFormat="false" ht="13.8" hidden="false" customHeight="false" outlineLevel="0" collapsed="false">
      <c r="A31" s="1" t="str">
        <f aca="false">LEFT('1. Elec Ref Grid'!A31,FIND("-",'1. Elec Ref Grid'!A31)-1)</f>
        <v>CY00</v>
      </c>
      <c r="B31" s="1" t="str">
        <f aca="false">RIGHT('1. Elec Ref Grid'!A31,LEN('1. Elec Ref Grid'!A31)-FIND("-",'1. Elec Ref Grid'!A31))</f>
        <v>GR03</v>
      </c>
      <c r="C31" s="1" t="s">
        <v>547</v>
      </c>
      <c r="D31" s="1" t="s">
        <v>548</v>
      </c>
      <c r="E31" s="1" t="n">
        <f aca="false">'1. Elec Ref Grid'!B31</f>
        <v>1000</v>
      </c>
    </row>
    <row r="32" customFormat="false" ht="13.8" hidden="false" customHeight="false" outlineLevel="0" collapsed="false">
      <c r="A32" s="1" t="str">
        <f aca="false">LEFT('1. Elec Ref Grid'!A32,FIND("-",'1. Elec Ref Grid'!A32)-1)</f>
        <v>CY00</v>
      </c>
      <c r="B32" s="1" t="str">
        <f aca="false">RIGHT('1. Elec Ref Grid'!A32,LEN('1. Elec Ref Grid'!A32)-FIND("-",'1. Elec Ref Grid'!A32))</f>
        <v>IL00</v>
      </c>
      <c r="C32" s="1" t="s">
        <v>547</v>
      </c>
      <c r="D32" s="1" t="s">
        <v>548</v>
      </c>
      <c r="E32" s="1" t="n">
        <f aca="false">'1. Elec Ref Grid'!B32</f>
        <v>1000</v>
      </c>
    </row>
    <row r="33" customFormat="false" ht="13.8" hidden="false" customHeight="false" outlineLevel="0" collapsed="false">
      <c r="A33" s="1" t="str">
        <f aca="false">LEFT('1. Elec Ref Grid'!A33,FIND("-",'1. Elec Ref Grid'!A33)-1)</f>
        <v>CZ00</v>
      </c>
      <c r="B33" s="1" t="str">
        <f aca="false">RIGHT('1. Elec Ref Grid'!A33,LEN('1. Elec Ref Grid'!A33)-FIND("-",'1. Elec Ref Grid'!A33))</f>
        <v>DE00</v>
      </c>
      <c r="C33" s="1" t="s">
        <v>547</v>
      </c>
      <c r="D33" s="1" t="s">
        <v>548</v>
      </c>
      <c r="E33" s="1" t="n">
        <f aca="false">'1. Elec Ref Grid'!B33</f>
        <v>2600</v>
      </c>
    </row>
    <row r="34" customFormat="false" ht="13.8" hidden="false" customHeight="false" outlineLevel="0" collapsed="false">
      <c r="A34" s="1" t="str">
        <f aca="false">LEFT('1. Elec Ref Grid'!A34,FIND("-",'1. Elec Ref Grid'!A34)-1)</f>
        <v>CZ00</v>
      </c>
      <c r="B34" s="1" t="str">
        <f aca="false">RIGHT('1. Elec Ref Grid'!A34,LEN('1. Elec Ref Grid'!A34)-FIND("-",'1. Elec Ref Grid'!A34))</f>
        <v>PL00I</v>
      </c>
      <c r="C34" s="1" t="s">
        <v>547</v>
      </c>
      <c r="D34" s="1" t="s">
        <v>548</v>
      </c>
      <c r="E34" s="1" t="n">
        <f aca="false">'1. Elec Ref Grid'!B34</f>
        <v>600</v>
      </c>
    </row>
    <row r="35" customFormat="false" ht="13.8" hidden="false" customHeight="false" outlineLevel="0" collapsed="false">
      <c r="A35" s="1" t="str">
        <f aca="false">LEFT('1. Elec Ref Grid'!A35,FIND("-",'1. Elec Ref Grid'!A35)-1)</f>
        <v>CZ00</v>
      </c>
      <c r="B35" s="1" t="str">
        <f aca="false">RIGHT('1. Elec Ref Grid'!A35,LEN('1. Elec Ref Grid'!A35)-FIND("-",'1. Elec Ref Grid'!A35))</f>
        <v>SK00</v>
      </c>
      <c r="C35" s="1" t="s">
        <v>547</v>
      </c>
      <c r="D35" s="1" t="s">
        <v>548</v>
      </c>
      <c r="E35" s="1" t="n">
        <f aca="false">'1. Elec Ref Grid'!B35</f>
        <v>1800</v>
      </c>
    </row>
    <row r="36" customFormat="false" ht="13.8" hidden="false" customHeight="false" outlineLevel="0" collapsed="false">
      <c r="A36" s="1" t="str">
        <f aca="false">LEFT('1. Elec Ref Grid'!A36,FIND("-",'1. Elec Ref Grid'!A36)-1)</f>
        <v>DE00</v>
      </c>
      <c r="B36" s="1" t="str">
        <f aca="false">RIGHT('1. Elec Ref Grid'!A36,LEN('1. Elec Ref Grid'!A36)-FIND("-",'1. Elec Ref Grid'!A36))</f>
        <v>DEKF</v>
      </c>
      <c r="C36" s="1" t="s">
        <v>547</v>
      </c>
      <c r="D36" s="1" t="s">
        <v>548</v>
      </c>
      <c r="E36" s="1" t="n">
        <f aca="false">'1. Elec Ref Grid'!B36</f>
        <v>400</v>
      </c>
    </row>
    <row r="37" customFormat="false" ht="13.8" hidden="false" customHeight="false" outlineLevel="0" collapsed="false">
      <c r="A37" s="1" t="str">
        <f aca="false">LEFT('1. Elec Ref Grid'!A37,FIND("-",'1. Elec Ref Grid'!A37)-1)</f>
        <v>DE00</v>
      </c>
      <c r="B37" s="1" t="str">
        <f aca="false">RIGHT('1. Elec Ref Grid'!A37,LEN('1. Elec Ref Grid'!A37)-FIND("-",'1. Elec Ref Grid'!A37))</f>
        <v>DKE1</v>
      </c>
      <c r="C37" s="1" t="s">
        <v>547</v>
      </c>
      <c r="D37" s="1" t="s">
        <v>548</v>
      </c>
      <c r="E37" s="1" t="n">
        <f aca="false">'1. Elec Ref Grid'!B37</f>
        <v>600</v>
      </c>
    </row>
    <row r="38" customFormat="false" ht="13.8" hidden="false" customHeight="false" outlineLevel="0" collapsed="false">
      <c r="A38" s="1" t="str">
        <f aca="false">LEFT('1. Elec Ref Grid'!A38,FIND("-",'1. Elec Ref Grid'!A38)-1)</f>
        <v>DE00</v>
      </c>
      <c r="B38" s="1" t="str">
        <f aca="false">RIGHT('1. Elec Ref Grid'!A38,LEN('1. Elec Ref Grid'!A38)-FIND("-",'1. Elec Ref Grid'!A38))</f>
        <v>DKW1</v>
      </c>
      <c r="C38" s="1" t="s">
        <v>547</v>
      </c>
      <c r="D38" s="1" t="s">
        <v>548</v>
      </c>
      <c r="E38" s="1" t="n">
        <f aca="false">'1. Elec Ref Grid'!B38</f>
        <v>3500</v>
      </c>
    </row>
    <row r="39" customFormat="false" ht="13.8" hidden="false" customHeight="false" outlineLevel="0" collapsed="false">
      <c r="A39" s="1" t="str">
        <f aca="false">LEFT('1. Elec Ref Grid'!A39,FIND("-",'1. Elec Ref Grid'!A39)-1)</f>
        <v>DE00</v>
      </c>
      <c r="B39" s="1" t="str">
        <f aca="false">RIGHT('1. Elec Ref Grid'!A39,LEN('1. Elec Ref Grid'!A39)-FIND("-",'1. Elec Ref Grid'!A39))</f>
        <v>FR00</v>
      </c>
      <c r="C39" s="1" t="s">
        <v>547</v>
      </c>
      <c r="D39" s="1" t="s">
        <v>548</v>
      </c>
      <c r="E39" s="1" t="n">
        <f aca="false">'1. Elec Ref Grid'!B39</f>
        <v>4800</v>
      </c>
    </row>
    <row r="40" customFormat="false" ht="13.8" hidden="false" customHeight="false" outlineLevel="0" collapsed="false">
      <c r="A40" s="1" t="str">
        <f aca="false">LEFT('1. Elec Ref Grid'!A40,FIND("-",'1. Elec Ref Grid'!A40)-1)</f>
        <v>DE00</v>
      </c>
      <c r="B40" s="1" t="str">
        <f aca="false">RIGHT('1. Elec Ref Grid'!A40,LEN('1. Elec Ref Grid'!A40)-FIND("-",'1. Elec Ref Grid'!A40))</f>
        <v>LUG1</v>
      </c>
      <c r="C40" s="1" t="s">
        <v>547</v>
      </c>
      <c r="D40" s="1" t="s">
        <v>548</v>
      </c>
      <c r="E40" s="1" t="n">
        <f aca="false">'1. Elec Ref Grid'!B40</f>
        <v>2400</v>
      </c>
    </row>
    <row r="41" customFormat="false" ht="13.8" hidden="false" customHeight="false" outlineLevel="0" collapsed="false">
      <c r="A41" s="1" t="str">
        <f aca="false">LEFT('1. Elec Ref Grid'!A41,FIND("-",'1. Elec Ref Grid'!A41)-1)</f>
        <v>DE00</v>
      </c>
      <c r="B41" s="1" t="str">
        <f aca="false">RIGHT('1. Elec Ref Grid'!A41,LEN('1. Elec Ref Grid'!A41)-FIND("-",'1. Elec Ref Grid'!A41))</f>
        <v>LUV1</v>
      </c>
      <c r="C41" s="1" t="s">
        <v>547</v>
      </c>
      <c r="D41" s="1" t="s">
        <v>548</v>
      </c>
      <c r="E41" s="1" t="n">
        <f aca="false">'1. Elec Ref Grid'!B41</f>
        <v>1300</v>
      </c>
    </row>
    <row r="42" customFormat="false" ht="13.8" hidden="false" customHeight="false" outlineLevel="0" collapsed="false">
      <c r="A42" s="1" t="str">
        <f aca="false">LEFT('1. Elec Ref Grid'!A42,FIND("-",'1. Elec Ref Grid'!A42)-1)</f>
        <v>DE00</v>
      </c>
      <c r="B42" s="1" t="str">
        <f aca="false">RIGHT('1. Elec Ref Grid'!A42,LEN('1. Elec Ref Grid'!A42)-FIND("-",'1. Elec Ref Grid'!A42))</f>
        <v>NL00</v>
      </c>
      <c r="C42" s="1" t="s">
        <v>547</v>
      </c>
      <c r="D42" s="1" t="s">
        <v>548</v>
      </c>
      <c r="E42" s="1" t="n">
        <f aca="false">'1. Elec Ref Grid'!B42</f>
        <v>5000</v>
      </c>
    </row>
    <row r="43" customFormat="false" ht="13.8" hidden="false" customHeight="false" outlineLevel="0" collapsed="false">
      <c r="A43" s="1" t="str">
        <f aca="false">LEFT('1. Elec Ref Grid'!A43,FIND("-",'1. Elec Ref Grid'!A43)-1)</f>
        <v>DE00</v>
      </c>
      <c r="B43" s="1" t="str">
        <f aca="false">RIGHT('1. Elec Ref Grid'!A43,LEN('1. Elec Ref Grid'!A43)-FIND("-",'1. Elec Ref Grid'!A43))</f>
        <v>NOS0</v>
      </c>
      <c r="C43" s="1" t="s">
        <v>547</v>
      </c>
      <c r="D43" s="1" t="s">
        <v>548</v>
      </c>
      <c r="E43" s="1" t="n">
        <f aca="false">'1. Elec Ref Grid'!B43</f>
        <v>1400</v>
      </c>
    </row>
    <row r="44" customFormat="false" ht="13.8" hidden="false" customHeight="false" outlineLevel="0" collapsed="false">
      <c r="A44" s="1" t="str">
        <f aca="false">LEFT('1. Elec Ref Grid'!A44,FIND("-",'1. Elec Ref Grid'!A44)-1)</f>
        <v>DE00</v>
      </c>
      <c r="B44" s="1" t="str">
        <f aca="false">RIGHT('1. Elec Ref Grid'!A44,LEN('1. Elec Ref Grid'!A44)-FIND("-",'1. Elec Ref Grid'!A44))</f>
        <v>PL00I</v>
      </c>
      <c r="C44" s="1" t="s">
        <v>547</v>
      </c>
      <c r="D44" s="1" t="s">
        <v>548</v>
      </c>
      <c r="E44" s="1" t="n">
        <f aca="false">'1. Elec Ref Grid'!B44</f>
        <v>2000</v>
      </c>
    </row>
    <row r="45" customFormat="false" ht="13.8" hidden="false" customHeight="false" outlineLevel="0" collapsed="false">
      <c r="A45" s="1" t="str">
        <f aca="false">LEFT('1. Elec Ref Grid'!A45,FIND("-",'1. Elec Ref Grid'!A45)-1)</f>
        <v>DE00</v>
      </c>
      <c r="B45" s="1" t="str">
        <f aca="false">RIGHT('1. Elec Ref Grid'!A45,LEN('1. Elec Ref Grid'!A45)-FIND("-",'1. Elec Ref Grid'!A45))</f>
        <v>SE04</v>
      </c>
      <c r="C45" s="1" t="s">
        <v>547</v>
      </c>
      <c r="D45" s="1" t="s">
        <v>548</v>
      </c>
      <c r="E45" s="1" t="n">
        <f aca="false">'1. Elec Ref Grid'!B45</f>
        <v>1315</v>
      </c>
    </row>
    <row r="46" customFormat="false" ht="13.8" hidden="false" customHeight="false" outlineLevel="0" collapsed="false">
      <c r="A46" s="1" t="str">
        <f aca="false">LEFT('1. Elec Ref Grid'!A46,FIND("-",'1. Elec Ref Grid'!A46)-1)</f>
        <v>DE00</v>
      </c>
      <c r="B46" s="1" t="str">
        <f aca="false">RIGHT('1. Elec Ref Grid'!A46,LEN('1. Elec Ref Grid'!A46)-FIND("-",'1. Elec Ref Grid'!A46))</f>
        <v>UK00</v>
      </c>
      <c r="C46" s="1" t="s">
        <v>547</v>
      </c>
      <c r="D46" s="1" t="s">
        <v>548</v>
      </c>
      <c r="E46" s="1" t="n">
        <f aca="false">'1. Elec Ref Grid'!B46</f>
        <v>1400</v>
      </c>
    </row>
    <row r="47" customFormat="false" ht="13.8" hidden="false" customHeight="false" outlineLevel="0" collapsed="false">
      <c r="A47" s="1" t="str">
        <f aca="false">LEFT('1. Elec Ref Grid'!A47,FIND("-",'1. Elec Ref Grid'!A47)-1)</f>
        <v>DEKF</v>
      </c>
      <c r="B47" s="1" t="str">
        <f aca="false">RIGHT('1. Elec Ref Grid'!A47,LEN('1. Elec Ref Grid'!A47)-FIND("-",'1. Elec Ref Grid'!A47))</f>
        <v>DKKF</v>
      </c>
      <c r="C47" s="1" t="s">
        <v>547</v>
      </c>
      <c r="D47" s="1" t="s">
        <v>548</v>
      </c>
      <c r="E47" s="1" t="n">
        <f aca="false">'1. Elec Ref Grid'!B47</f>
        <v>400</v>
      </c>
    </row>
    <row r="48" customFormat="false" ht="13.8" hidden="false" customHeight="false" outlineLevel="0" collapsed="false">
      <c r="A48" s="1" t="str">
        <f aca="false">LEFT('1. Elec Ref Grid'!A48,FIND("-",'1. Elec Ref Grid'!A48)-1)</f>
        <v>DKE1</v>
      </c>
      <c r="B48" s="1" t="str">
        <f aca="false">RIGHT('1. Elec Ref Grid'!A48,LEN('1. Elec Ref Grid'!A48)-FIND("-",'1. Elec Ref Grid'!A48))</f>
        <v>DKKF</v>
      </c>
      <c r="C48" s="1" t="s">
        <v>547</v>
      </c>
      <c r="D48" s="1" t="s">
        <v>548</v>
      </c>
      <c r="E48" s="1" t="n">
        <f aca="false">'1. Elec Ref Grid'!B48</f>
        <v>600</v>
      </c>
    </row>
    <row r="49" customFormat="false" ht="13.8" hidden="false" customHeight="false" outlineLevel="0" collapsed="false">
      <c r="A49" s="1" t="str">
        <f aca="false">LEFT('1. Elec Ref Grid'!A49,FIND("-",'1. Elec Ref Grid'!A49)-1)</f>
        <v>DKE1</v>
      </c>
      <c r="B49" s="1" t="str">
        <f aca="false">RIGHT('1. Elec Ref Grid'!A49,LEN('1. Elec Ref Grid'!A49)-FIND("-",'1. Elec Ref Grid'!A49))</f>
        <v>DKW1</v>
      </c>
      <c r="C49" s="1" t="s">
        <v>547</v>
      </c>
      <c r="D49" s="1" t="s">
        <v>548</v>
      </c>
      <c r="E49" s="1" t="n">
        <f aca="false">'1. Elec Ref Grid'!B49</f>
        <v>600</v>
      </c>
    </row>
    <row r="50" customFormat="false" ht="13.8" hidden="false" customHeight="false" outlineLevel="0" collapsed="false">
      <c r="A50" s="1" t="str">
        <f aca="false">LEFT('1. Elec Ref Grid'!A50,FIND("-",'1. Elec Ref Grid'!A50)-1)</f>
        <v>DKE1</v>
      </c>
      <c r="B50" s="1" t="str">
        <f aca="false">RIGHT('1. Elec Ref Grid'!A50,LEN('1. Elec Ref Grid'!A50)-FIND("-",'1. Elec Ref Grid'!A50))</f>
        <v>PL00</v>
      </c>
      <c r="C50" s="1" t="s">
        <v>547</v>
      </c>
      <c r="D50" s="1" t="s">
        <v>548</v>
      </c>
      <c r="E50" s="1" t="n">
        <f aca="false">'1. Elec Ref Grid'!B50</f>
        <v>0</v>
      </c>
    </row>
    <row r="51" customFormat="false" ht="13.8" hidden="false" customHeight="false" outlineLevel="0" collapsed="false">
      <c r="A51" s="1" t="str">
        <f aca="false">LEFT('1. Elec Ref Grid'!A51,FIND("-",'1. Elec Ref Grid'!A51)-1)</f>
        <v>DKE1</v>
      </c>
      <c r="B51" s="1" t="str">
        <f aca="false">RIGHT('1. Elec Ref Grid'!A51,LEN('1. Elec Ref Grid'!A51)-FIND("-",'1. Elec Ref Grid'!A51))</f>
        <v>SE04</v>
      </c>
      <c r="C51" s="1" t="s">
        <v>547</v>
      </c>
      <c r="D51" s="1" t="s">
        <v>548</v>
      </c>
      <c r="E51" s="1" t="n">
        <f aca="false">'1. Elec Ref Grid'!B51</f>
        <v>1700</v>
      </c>
    </row>
    <row r="52" customFormat="false" ht="13.8" hidden="false" customHeight="false" outlineLevel="0" collapsed="false">
      <c r="A52" s="1" t="str">
        <f aca="false">LEFT('1. Elec Ref Grid'!A52,FIND("-",'1. Elec Ref Grid'!A52)-1)</f>
        <v>DKW1</v>
      </c>
      <c r="B52" s="1" t="str">
        <f aca="false">RIGHT('1. Elec Ref Grid'!A52,LEN('1. Elec Ref Grid'!A52)-FIND("-",'1. Elec Ref Grid'!A52))</f>
        <v>NL00</v>
      </c>
      <c r="C52" s="1" t="s">
        <v>547</v>
      </c>
      <c r="D52" s="1" t="s">
        <v>548</v>
      </c>
      <c r="E52" s="1" t="n">
        <f aca="false">'1. Elec Ref Grid'!B52</f>
        <v>700</v>
      </c>
    </row>
    <row r="53" customFormat="false" ht="13.8" hidden="false" customHeight="false" outlineLevel="0" collapsed="false">
      <c r="A53" s="1" t="str">
        <f aca="false">LEFT('1. Elec Ref Grid'!A53,FIND("-",'1. Elec Ref Grid'!A53)-1)</f>
        <v>DKW1</v>
      </c>
      <c r="B53" s="1" t="str">
        <f aca="false">RIGHT('1. Elec Ref Grid'!A53,LEN('1. Elec Ref Grid'!A53)-FIND("-",'1. Elec Ref Grid'!A53))</f>
        <v>NOS0</v>
      </c>
      <c r="C53" s="1" t="s">
        <v>547</v>
      </c>
      <c r="D53" s="1" t="s">
        <v>548</v>
      </c>
      <c r="E53" s="1" t="n">
        <f aca="false">'1. Elec Ref Grid'!B53</f>
        <v>1632</v>
      </c>
    </row>
    <row r="54" customFormat="false" ht="13.8" hidden="false" customHeight="false" outlineLevel="0" collapsed="false">
      <c r="A54" s="1" t="str">
        <f aca="false">LEFT('1. Elec Ref Grid'!A54,FIND("-",'1. Elec Ref Grid'!A54)-1)</f>
        <v>DKW1</v>
      </c>
      <c r="B54" s="1" t="str">
        <f aca="false">RIGHT('1. Elec Ref Grid'!A54,LEN('1. Elec Ref Grid'!A54)-FIND("-",'1. Elec Ref Grid'!A54))</f>
        <v>SE03</v>
      </c>
      <c r="C54" s="1" t="s">
        <v>547</v>
      </c>
      <c r="D54" s="1" t="s">
        <v>548</v>
      </c>
      <c r="E54" s="1" t="n">
        <f aca="false">'1. Elec Ref Grid'!B54</f>
        <v>715</v>
      </c>
    </row>
    <row r="55" customFormat="false" ht="13.8" hidden="false" customHeight="false" outlineLevel="0" collapsed="false">
      <c r="A55" s="1" t="str">
        <f aca="false">LEFT('1. Elec Ref Grid'!A55,FIND("-",'1. Elec Ref Grid'!A55)-1)</f>
        <v>DKW1</v>
      </c>
      <c r="B55" s="1" t="str">
        <f aca="false">RIGHT('1. Elec Ref Grid'!A55,LEN('1. Elec Ref Grid'!A55)-FIND("-",'1. Elec Ref Grid'!A55))</f>
        <v>UK00</v>
      </c>
      <c r="C55" s="1" t="s">
        <v>547</v>
      </c>
      <c r="D55" s="1" t="s">
        <v>548</v>
      </c>
      <c r="E55" s="1" t="n">
        <f aca="false">'1. Elec Ref Grid'!B55</f>
        <v>1400</v>
      </c>
    </row>
    <row r="56" customFormat="false" ht="13.8" hidden="false" customHeight="false" outlineLevel="0" collapsed="false">
      <c r="A56" s="1" t="str">
        <f aca="false">LEFT('1. Elec Ref Grid'!A56,FIND("-",'1. Elec Ref Grid'!A56)-1)</f>
        <v>DZ00</v>
      </c>
      <c r="B56" s="1" t="str">
        <f aca="false">RIGHT('1. Elec Ref Grid'!A56,LEN('1. Elec Ref Grid'!A56)-FIND("-",'1. Elec Ref Grid'!A56))</f>
        <v>MA00</v>
      </c>
      <c r="C56" s="1" t="s">
        <v>547</v>
      </c>
      <c r="D56" s="1" t="s">
        <v>548</v>
      </c>
      <c r="E56" s="1" t="n">
        <f aca="false">'1. Elec Ref Grid'!B56</f>
        <v>1000</v>
      </c>
    </row>
    <row r="57" customFormat="false" ht="13.8" hidden="false" customHeight="false" outlineLevel="0" collapsed="false">
      <c r="A57" s="1" t="str">
        <f aca="false">LEFT('1. Elec Ref Grid'!A57,FIND("-",'1. Elec Ref Grid'!A57)-1)</f>
        <v>DZ00</v>
      </c>
      <c r="B57" s="1" t="str">
        <f aca="false">RIGHT('1. Elec Ref Grid'!A57,LEN('1. Elec Ref Grid'!A57)-FIND("-",'1. Elec Ref Grid'!A57))</f>
        <v>TN00</v>
      </c>
      <c r="C57" s="1" t="s">
        <v>547</v>
      </c>
      <c r="D57" s="1" t="s">
        <v>548</v>
      </c>
      <c r="E57" s="1" t="n">
        <f aca="false">'1. Elec Ref Grid'!B57</f>
        <v>250</v>
      </c>
    </row>
    <row r="58" customFormat="false" ht="13.8" hidden="false" customHeight="false" outlineLevel="0" collapsed="false">
      <c r="A58" s="1" t="str">
        <f aca="false">LEFT('1. Elec Ref Grid'!A58,FIND("-",'1. Elec Ref Grid'!A58)-1)</f>
        <v>EE00</v>
      </c>
      <c r="B58" s="1" t="str">
        <f aca="false">RIGHT('1. Elec Ref Grid'!A58,LEN('1. Elec Ref Grid'!A58)-FIND("-",'1. Elec Ref Grid'!A58))</f>
        <v>FI00</v>
      </c>
      <c r="C58" s="1" t="s">
        <v>547</v>
      </c>
      <c r="D58" s="1" t="s">
        <v>548</v>
      </c>
      <c r="E58" s="1" t="n">
        <f aca="false">'1. Elec Ref Grid'!B58</f>
        <v>1016</v>
      </c>
    </row>
    <row r="59" customFormat="false" ht="13.8" hidden="false" customHeight="false" outlineLevel="0" collapsed="false">
      <c r="A59" s="1" t="str">
        <f aca="false">LEFT('1. Elec Ref Grid'!A59,FIND("-",'1. Elec Ref Grid'!A59)-1)</f>
        <v>EE00</v>
      </c>
      <c r="B59" s="1" t="str">
        <f aca="false">RIGHT('1. Elec Ref Grid'!A59,LEN('1. Elec Ref Grid'!A59)-FIND("-",'1. Elec Ref Grid'!A59))</f>
        <v>LV00</v>
      </c>
      <c r="C59" s="1" t="s">
        <v>547</v>
      </c>
      <c r="D59" s="1" t="s">
        <v>548</v>
      </c>
      <c r="E59" s="1" t="n">
        <f aca="false">'1. Elec Ref Grid'!B59</f>
        <v>950</v>
      </c>
    </row>
    <row r="60" customFormat="false" ht="13.8" hidden="false" customHeight="false" outlineLevel="0" collapsed="false">
      <c r="A60" s="1" t="str">
        <f aca="false">LEFT('1. Elec Ref Grid'!A60,FIND("-",'1. Elec Ref Grid'!A60)-1)</f>
        <v>EG00</v>
      </c>
      <c r="B60" s="1" t="str">
        <f aca="false">RIGHT('1. Elec Ref Grid'!A60,LEN('1. Elec Ref Grid'!A60)-FIND("-",'1. Elec Ref Grid'!A60))</f>
        <v>GR00</v>
      </c>
      <c r="C60" s="1" t="s">
        <v>547</v>
      </c>
      <c r="D60" s="1" t="s">
        <v>548</v>
      </c>
      <c r="E60" s="1" t="n">
        <f aca="false">'1. Elec Ref Grid'!B60</f>
        <v>3000</v>
      </c>
    </row>
    <row r="61" customFormat="false" ht="13.8" hidden="false" customHeight="false" outlineLevel="0" collapsed="false">
      <c r="A61" s="1" t="str">
        <f aca="false">LEFT('1. Elec Ref Grid'!A61,FIND("-",'1. Elec Ref Grid'!A61)-1)</f>
        <v>EG00</v>
      </c>
      <c r="B61" s="1" t="str">
        <f aca="false">RIGHT('1. Elec Ref Grid'!A61,LEN('1. Elec Ref Grid'!A61)-FIND("-",'1. Elec Ref Grid'!A61))</f>
        <v>LY00</v>
      </c>
      <c r="C61" s="1" t="s">
        <v>547</v>
      </c>
      <c r="D61" s="1" t="s">
        <v>548</v>
      </c>
      <c r="E61" s="1" t="n">
        <f aca="false">'1. Elec Ref Grid'!B61</f>
        <v>240</v>
      </c>
    </row>
    <row r="62" customFormat="false" ht="13.8" hidden="false" customHeight="false" outlineLevel="0" collapsed="false">
      <c r="A62" s="1" t="str">
        <f aca="false">LEFT('1. Elec Ref Grid'!A62,FIND("-",'1. Elec Ref Grid'!A62)-1)</f>
        <v>ES00</v>
      </c>
      <c r="B62" s="1" t="str">
        <f aca="false">RIGHT('1. Elec Ref Grid'!A62,LEN('1. Elec Ref Grid'!A62)-FIND("-",'1. Elec Ref Grid'!A62))</f>
        <v>FR00</v>
      </c>
      <c r="C62" s="1" t="s">
        <v>547</v>
      </c>
      <c r="D62" s="1" t="s">
        <v>548</v>
      </c>
      <c r="E62" s="1" t="n">
        <f aca="false">'1. Elec Ref Grid'!B62</f>
        <v>5000</v>
      </c>
    </row>
    <row r="63" customFormat="false" ht="13.8" hidden="false" customHeight="false" outlineLevel="0" collapsed="false">
      <c r="A63" s="1" t="str">
        <f aca="false">LEFT('1. Elec Ref Grid'!A63,FIND("-",'1. Elec Ref Grid'!A63)-1)</f>
        <v>ES00</v>
      </c>
      <c r="B63" s="1" t="str">
        <f aca="false">RIGHT('1. Elec Ref Grid'!A63,LEN('1. Elec Ref Grid'!A63)-FIND("-",'1. Elec Ref Grid'!A63))</f>
        <v>MA00</v>
      </c>
      <c r="C63" s="1" t="s">
        <v>547</v>
      </c>
      <c r="D63" s="1" t="s">
        <v>548</v>
      </c>
      <c r="E63" s="1" t="n">
        <f aca="false">'1. Elec Ref Grid'!B63</f>
        <v>900</v>
      </c>
    </row>
    <row r="64" customFormat="false" ht="13.8" hidden="false" customHeight="false" outlineLevel="0" collapsed="false">
      <c r="A64" s="1" t="str">
        <f aca="false">LEFT('1. Elec Ref Grid'!A64,FIND("-",'1. Elec Ref Grid'!A64)-1)</f>
        <v>ES00</v>
      </c>
      <c r="B64" s="1" t="str">
        <f aca="false">RIGHT('1. Elec Ref Grid'!A64,LEN('1. Elec Ref Grid'!A64)-FIND("-",'1. Elec Ref Grid'!A64))</f>
        <v>PT00</v>
      </c>
      <c r="C64" s="1" t="s">
        <v>547</v>
      </c>
      <c r="D64" s="1" t="s">
        <v>548</v>
      </c>
      <c r="E64" s="1" t="n">
        <f aca="false">'1. Elec Ref Grid'!B64</f>
        <v>4200</v>
      </c>
    </row>
    <row r="65" customFormat="false" ht="13.8" hidden="false" customHeight="false" outlineLevel="0" collapsed="false">
      <c r="A65" s="1" t="str">
        <f aca="false">LEFT('1. Elec Ref Grid'!A65,FIND("-",'1. Elec Ref Grid'!A65)-1)</f>
        <v>FI00</v>
      </c>
      <c r="B65" s="1" t="str">
        <f aca="false">RIGHT('1. Elec Ref Grid'!A65,LEN('1. Elec Ref Grid'!A65)-FIND("-",'1. Elec Ref Grid'!A65))</f>
        <v>NON1</v>
      </c>
      <c r="C65" s="1" t="s">
        <v>547</v>
      </c>
      <c r="D65" s="1" t="s">
        <v>548</v>
      </c>
      <c r="E65" s="1" t="n">
        <f aca="false">'1. Elec Ref Grid'!B65</f>
        <v>0</v>
      </c>
    </row>
    <row r="66" customFormat="false" ht="13.8" hidden="false" customHeight="false" outlineLevel="0" collapsed="false">
      <c r="A66" s="1" t="str">
        <f aca="false">LEFT('1. Elec Ref Grid'!A66,FIND("-",'1. Elec Ref Grid'!A66)-1)</f>
        <v>FI00</v>
      </c>
      <c r="B66" s="1" t="str">
        <f aca="false">RIGHT('1. Elec Ref Grid'!A66,LEN('1. Elec Ref Grid'!A66)-FIND("-",'1. Elec Ref Grid'!A66))</f>
        <v>SE01</v>
      </c>
      <c r="C66" s="1" t="s">
        <v>547</v>
      </c>
      <c r="D66" s="1" t="s">
        <v>548</v>
      </c>
      <c r="E66" s="1" t="n">
        <f aca="false">'1. Elec Ref Grid'!B66</f>
        <v>2000</v>
      </c>
    </row>
    <row r="67" customFormat="false" ht="13.8" hidden="false" customHeight="false" outlineLevel="0" collapsed="false">
      <c r="A67" s="1" t="str">
        <f aca="false">LEFT('1. Elec Ref Grid'!A67,FIND("-",'1. Elec Ref Grid'!A67)-1)</f>
        <v>FI00</v>
      </c>
      <c r="B67" s="1" t="str">
        <f aca="false">RIGHT('1. Elec Ref Grid'!A67,LEN('1. Elec Ref Grid'!A67)-FIND("-",'1. Elec Ref Grid'!A67))</f>
        <v>SE02</v>
      </c>
      <c r="C67" s="1" t="s">
        <v>547</v>
      </c>
      <c r="D67" s="1" t="s">
        <v>548</v>
      </c>
      <c r="E67" s="1" t="n">
        <f aca="false">'1. Elec Ref Grid'!B67</f>
        <v>0</v>
      </c>
    </row>
    <row r="68" customFormat="false" ht="13.8" hidden="false" customHeight="false" outlineLevel="0" collapsed="false">
      <c r="A68" s="1" t="str">
        <f aca="false">LEFT('1. Elec Ref Grid'!A68,FIND("-",'1. Elec Ref Grid'!A68)-1)</f>
        <v>FI00</v>
      </c>
      <c r="B68" s="1" t="str">
        <f aca="false">RIGHT('1. Elec Ref Grid'!A68,LEN('1. Elec Ref Grid'!A68)-FIND("-",'1. Elec Ref Grid'!A68))</f>
        <v>SE03</v>
      </c>
      <c r="C68" s="1" t="s">
        <v>547</v>
      </c>
      <c r="D68" s="1" t="s">
        <v>548</v>
      </c>
      <c r="E68" s="1" t="n">
        <f aca="false">'1. Elec Ref Grid'!B68</f>
        <v>1200</v>
      </c>
    </row>
    <row r="69" customFormat="false" ht="13.8" hidden="false" customHeight="false" outlineLevel="0" collapsed="false">
      <c r="A69" s="1" t="str">
        <f aca="false">LEFT('1. Elec Ref Grid'!A69,FIND("-",'1. Elec Ref Grid'!A69)-1)</f>
        <v>FR00</v>
      </c>
      <c r="B69" s="1" t="str">
        <f aca="false">RIGHT('1. Elec Ref Grid'!A69,LEN('1. Elec Ref Grid'!A69)-FIND("-",'1. Elec Ref Grid'!A69))</f>
        <v>IE00</v>
      </c>
      <c r="C69" s="1" t="s">
        <v>547</v>
      </c>
      <c r="D69" s="1" t="s">
        <v>548</v>
      </c>
      <c r="E69" s="1" t="n">
        <f aca="false">'1. Elec Ref Grid'!B69</f>
        <v>700</v>
      </c>
    </row>
    <row r="70" customFormat="false" ht="13.8" hidden="false" customHeight="false" outlineLevel="0" collapsed="false">
      <c r="A70" s="1" t="str">
        <f aca="false">LEFT('1. Elec Ref Grid'!A70,FIND("-",'1. Elec Ref Grid'!A70)-1)</f>
        <v>FR00</v>
      </c>
      <c r="B70" s="1" t="str">
        <f aca="false">RIGHT('1. Elec Ref Grid'!A70,LEN('1. Elec Ref Grid'!A70)-FIND("-",'1. Elec Ref Grid'!A70))</f>
        <v>ITN1</v>
      </c>
      <c r="C70" s="1" t="s">
        <v>547</v>
      </c>
      <c r="D70" s="1" t="s">
        <v>548</v>
      </c>
      <c r="E70" s="1" t="n">
        <f aca="false">'1. Elec Ref Grid'!B70</f>
        <v>4485</v>
      </c>
    </row>
    <row r="71" customFormat="false" ht="13.8" hidden="false" customHeight="false" outlineLevel="0" collapsed="false">
      <c r="A71" s="1" t="str">
        <f aca="false">LEFT('1. Elec Ref Grid'!A71,FIND("-",'1. Elec Ref Grid'!A71)-1)</f>
        <v>FR00</v>
      </c>
      <c r="B71" s="1" t="str">
        <f aca="false">RIGHT('1. Elec Ref Grid'!A71,LEN('1. Elec Ref Grid'!A71)-FIND("-",'1. Elec Ref Grid'!A71))</f>
        <v>LUF1</v>
      </c>
      <c r="C71" s="1" t="s">
        <v>547</v>
      </c>
      <c r="D71" s="1" t="s">
        <v>548</v>
      </c>
      <c r="E71" s="1" t="n">
        <f aca="false">'1. Elec Ref Grid'!B71</f>
        <v>380</v>
      </c>
    </row>
    <row r="72" customFormat="false" ht="13.8" hidden="false" customHeight="false" outlineLevel="0" collapsed="false">
      <c r="A72" s="1" t="str">
        <f aca="false">LEFT('1. Elec Ref Grid'!A72,FIND("-",'1. Elec Ref Grid'!A72)-1)</f>
        <v>FR00</v>
      </c>
      <c r="B72" s="1" t="str">
        <f aca="false">RIGHT('1. Elec Ref Grid'!A72,LEN('1. Elec Ref Grid'!A72)-FIND("-",'1. Elec Ref Grid'!A72))</f>
        <v>UK00</v>
      </c>
      <c r="C72" s="1" t="s">
        <v>547</v>
      </c>
      <c r="D72" s="1" t="s">
        <v>548</v>
      </c>
      <c r="E72" s="1" t="n">
        <f aca="false">'1. Elec Ref Grid'!B72</f>
        <v>5600</v>
      </c>
    </row>
    <row r="73" customFormat="false" ht="13.8" hidden="false" customHeight="false" outlineLevel="0" collapsed="false">
      <c r="A73" s="1" t="str">
        <f aca="false">LEFT('1. Elec Ref Grid'!A73,FIND("-",'1. Elec Ref Grid'!A73)-1)</f>
        <v>FR15</v>
      </c>
      <c r="B73" s="1" t="str">
        <f aca="false">RIGHT('1. Elec Ref Grid'!A73,LEN('1. Elec Ref Grid'!A73)-FIND("-",'1. Elec Ref Grid'!A73))</f>
        <v>ITCO</v>
      </c>
      <c r="C73" s="1" t="s">
        <v>547</v>
      </c>
      <c r="D73" s="1" t="s">
        <v>548</v>
      </c>
      <c r="E73" s="1" t="n">
        <f aca="false">'1. Elec Ref Grid'!B73</f>
        <v>120</v>
      </c>
    </row>
    <row r="74" customFormat="false" ht="13.8" hidden="false" customHeight="false" outlineLevel="0" collapsed="false">
      <c r="A74" s="1" t="str">
        <f aca="false">LEFT('1. Elec Ref Grid'!A74,FIND("-",'1. Elec Ref Grid'!A74)-1)</f>
        <v>GR00</v>
      </c>
      <c r="B74" s="1" t="str">
        <f aca="false">RIGHT('1. Elec Ref Grid'!A74,LEN('1. Elec Ref Grid'!A74)-FIND("-",'1. Elec Ref Grid'!A74))</f>
        <v>GR03</v>
      </c>
      <c r="C74" s="1" t="s">
        <v>547</v>
      </c>
      <c r="D74" s="1" t="s">
        <v>548</v>
      </c>
      <c r="E74" s="1" t="n">
        <f aca="false">'1. Elec Ref Grid'!B74</f>
        <v>800</v>
      </c>
    </row>
    <row r="75" customFormat="false" ht="13.8" hidden="false" customHeight="false" outlineLevel="0" collapsed="false">
      <c r="A75" s="1" t="str">
        <f aca="false">LEFT('1. Elec Ref Grid'!A75,FIND("-",'1. Elec Ref Grid'!A75)-1)</f>
        <v>GR00</v>
      </c>
      <c r="B75" s="1" t="str">
        <f aca="false">RIGHT('1. Elec Ref Grid'!A75,LEN('1. Elec Ref Grid'!A75)-FIND("-",'1. Elec Ref Grid'!A75))</f>
        <v>ITS1</v>
      </c>
      <c r="C75" s="1" t="s">
        <v>547</v>
      </c>
      <c r="D75" s="1" t="s">
        <v>548</v>
      </c>
      <c r="E75" s="1" t="n">
        <f aca="false">'1. Elec Ref Grid'!B75</f>
        <v>500</v>
      </c>
    </row>
    <row r="76" customFormat="false" ht="13.8" hidden="false" customHeight="false" outlineLevel="0" collapsed="false">
      <c r="A76" s="1" t="str">
        <f aca="false">LEFT('1. Elec Ref Grid'!A76,FIND("-",'1. Elec Ref Grid'!A76)-1)</f>
        <v>GR00</v>
      </c>
      <c r="B76" s="1" t="str">
        <f aca="false">RIGHT('1. Elec Ref Grid'!A76,LEN('1. Elec Ref Grid'!A76)-FIND("-",'1. Elec Ref Grid'!A76))</f>
        <v>LY00</v>
      </c>
      <c r="C76" s="1" t="s">
        <v>547</v>
      </c>
      <c r="D76" s="1" t="s">
        <v>548</v>
      </c>
      <c r="E76" s="1" t="n">
        <f aca="false">'1. Elec Ref Grid'!B76</f>
        <v>0</v>
      </c>
    </row>
    <row r="77" customFormat="false" ht="13.8" hidden="false" customHeight="false" outlineLevel="0" collapsed="false">
      <c r="A77" s="1" t="str">
        <f aca="false">LEFT('1. Elec Ref Grid'!A77,FIND("-",'1. Elec Ref Grid'!A77)-1)</f>
        <v>GR00</v>
      </c>
      <c r="B77" s="1" t="str">
        <f aca="false">RIGHT('1. Elec Ref Grid'!A77,LEN('1. Elec Ref Grid'!A77)-FIND("-",'1. Elec Ref Grid'!A77))</f>
        <v>MK00</v>
      </c>
      <c r="C77" s="1" t="s">
        <v>547</v>
      </c>
      <c r="D77" s="1" t="s">
        <v>548</v>
      </c>
      <c r="E77" s="1" t="n">
        <f aca="false">'1. Elec Ref Grid'!B77</f>
        <v>1100</v>
      </c>
    </row>
    <row r="78" customFormat="false" ht="13.8" hidden="false" customHeight="false" outlineLevel="0" collapsed="false">
      <c r="A78" s="1" t="str">
        <f aca="false">LEFT('1. Elec Ref Grid'!A78,FIND("-",'1. Elec Ref Grid'!A78)-1)</f>
        <v>GR00</v>
      </c>
      <c r="B78" s="1" t="str">
        <f aca="false">RIGHT('1. Elec Ref Grid'!A78,LEN('1. Elec Ref Grid'!A78)-FIND("-",'1. Elec Ref Grid'!A78))</f>
        <v>TR00</v>
      </c>
      <c r="C78" s="1" t="s">
        <v>547</v>
      </c>
      <c r="D78" s="1" t="s">
        <v>548</v>
      </c>
      <c r="E78" s="1" t="n">
        <f aca="false">'1. Elec Ref Grid'!B78</f>
        <v>660</v>
      </c>
    </row>
    <row r="79" customFormat="false" ht="13.8" hidden="false" customHeight="false" outlineLevel="0" collapsed="false">
      <c r="A79" s="1" t="str">
        <f aca="false">LEFT('1. Elec Ref Grid'!A79,FIND("-",'1. Elec Ref Grid'!A79)-1)</f>
        <v>GR03</v>
      </c>
      <c r="B79" s="1" t="str">
        <f aca="false">RIGHT('1. Elec Ref Grid'!A79,LEN('1. Elec Ref Grid'!A79)-FIND("-",'1. Elec Ref Grid'!A79))</f>
        <v>LY00</v>
      </c>
      <c r="C79" s="1" t="s">
        <v>547</v>
      </c>
      <c r="D79" s="1" t="s">
        <v>548</v>
      </c>
      <c r="E79" s="1" t="n">
        <f aca="false">'1. Elec Ref Grid'!B79</f>
        <v>0</v>
      </c>
    </row>
    <row r="80" customFormat="false" ht="13.8" hidden="false" customHeight="false" outlineLevel="0" collapsed="false">
      <c r="A80" s="1" t="str">
        <f aca="false">LEFT('1. Elec Ref Grid'!A80,FIND("-",'1. Elec Ref Grid'!A80)-1)</f>
        <v>HR00</v>
      </c>
      <c r="B80" s="1" t="str">
        <f aca="false">RIGHT('1. Elec Ref Grid'!A80,LEN('1. Elec Ref Grid'!A80)-FIND("-",'1. Elec Ref Grid'!A80))</f>
        <v>HU00</v>
      </c>
      <c r="C80" s="1" t="s">
        <v>547</v>
      </c>
      <c r="D80" s="1" t="s">
        <v>548</v>
      </c>
      <c r="E80" s="1" t="n">
        <f aca="false">'1. Elec Ref Grid'!B80</f>
        <v>800</v>
      </c>
    </row>
    <row r="81" customFormat="false" ht="13.8" hidden="false" customHeight="false" outlineLevel="0" collapsed="false">
      <c r="A81" s="1" t="str">
        <f aca="false">LEFT('1. Elec Ref Grid'!A81,FIND("-",'1. Elec Ref Grid'!A81)-1)</f>
        <v>HR00</v>
      </c>
      <c r="B81" s="1" t="str">
        <f aca="false">RIGHT('1. Elec Ref Grid'!A81,LEN('1. Elec Ref Grid'!A81)-FIND("-",'1. Elec Ref Grid'!A81))</f>
        <v>RS00</v>
      </c>
      <c r="C81" s="1" t="s">
        <v>547</v>
      </c>
      <c r="D81" s="1" t="s">
        <v>548</v>
      </c>
      <c r="E81" s="1" t="n">
        <f aca="false">'1. Elec Ref Grid'!B81</f>
        <v>300</v>
      </c>
    </row>
    <row r="82" customFormat="false" ht="13.8" hidden="false" customHeight="false" outlineLevel="0" collapsed="false">
      <c r="A82" s="1" t="str">
        <f aca="false">LEFT('1. Elec Ref Grid'!A82,FIND("-",'1. Elec Ref Grid'!A82)-1)</f>
        <v>HR00</v>
      </c>
      <c r="B82" s="1" t="str">
        <f aca="false">RIGHT('1. Elec Ref Grid'!A82,LEN('1. Elec Ref Grid'!A82)-FIND("-",'1. Elec Ref Grid'!A82))</f>
        <v>SI00</v>
      </c>
      <c r="C82" s="1" t="s">
        <v>547</v>
      </c>
      <c r="D82" s="1" t="s">
        <v>548</v>
      </c>
      <c r="E82" s="1" t="n">
        <f aca="false">'1. Elec Ref Grid'!B82</f>
        <v>1500</v>
      </c>
    </row>
    <row r="83" customFormat="false" ht="13.8" hidden="false" customHeight="false" outlineLevel="0" collapsed="false">
      <c r="A83" s="1" t="str">
        <f aca="false">LEFT('1. Elec Ref Grid'!A83,FIND("-",'1. Elec Ref Grid'!A83)-1)</f>
        <v>HU00</v>
      </c>
      <c r="B83" s="1" t="str">
        <f aca="false">RIGHT('1. Elec Ref Grid'!A83,LEN('1. Elec Ref Grid'!A83)-FIND("-",'1. Elec Ref Grid'!A83))</f>
        <v>RO00</v>
      </c>
      <c r="C83" s="1" t="s">
        <v>547</v>
      </c>
      <c r="D83" s="1" t="s">
        <v>548</v>
      </c>
      <c r="E83" s="1" t="n">
        <f aca="false">'1. Elec Ref Grid'!B83</f>
        <v>1617</v>
      </c>
    </row>
    <row r="84" customFormat="false" ht="13.8" hidden="false" customHeight="false" outlineLevel="0" collapsed="false">
      <c r="A84" s="1" t="str">
        <f aca="false">LEFT('1. Elec Ref Grid'!A84,FIND("-",'1. Elec Ref Grid'!A84)-1)</f>
        <v>HU00</v>
      </c>
      <c r="B84" s="1" t="str">
        <f aca="false">RIGHT('1. Elec Ref Grid'!A84,LEN('1. Elec Ref Grid'!A84)-FIND("-",'1. Elec Ref Grid'!A84))</f>
        <v>RS00</v>
      </c>
      <c r="C84" s="1" t="s">
        <v>547</v>
      </c>
      <c r="D84" s="1" t="s">
        <v>548</v>
      </c>
      <c r="E84" s="1" t="n">
        <f aca="false">'1. Elec Ref Grid'!B84</f>
        <v>600</v>
      </c>
    </row>
    <row r="85" customFormat="false" ht="13.8" hidden="false" customHeight="false" outlineLevel="0" collapsed="false">
      <c r="A85" s="1" t="str">
        <f aca="false">LEFT('1. Elec Ref Grid'!A85,FIND("-",'1. Elec Ref Grid'!A85)-1)</f>
        <v>HU00</v>
      </c>
      <c r="B85" s="1" t="str">
        <f aca="false">RIGHT('1. Elec Ref Grid'!A85,LEN('1. Elec Ref Grid'!A85)-FIND("-",'1. Elec Ref Grid'!A85))</f>
        <v>SI00</v>
      </c>
      <c r="C85" s="1" t="s">
        <v>547</v>
      </c>
      <c r="D85" s="1" t="s">
        <v>548</v>
      </c>
      <c r="E85" s="1" t="n">
        <f aca="false">'1. Elec Ref Grid'!B85</f>
        <v>1200</v>
      </c>
    </row>
    <row r="86" customFormat="false" ht="13.8" hidden="false" customHeight="false" outlineLevel="0" collapsed="false">
      <c r="A86" s="1" t="str">
        <f aca="false">LEFT('1. Elec Ref Grid'!A86,FIND("-",'1. Elec Ref Grid'!A86)-1)</f>
        <v>HU00</v>
      </c>
      <c r="B86" s="1" t="str">
        <f aca="false">RIGHT('1. Elec Ref Grid'!A86,LEN('1. Elec Ref Grid'!A86)-FIND("-",'1. Elec Ref Grid'!A86))</f>
        <v>SK00</v>
      </c>
      <c r="C86" s="1" t="s">
        <v>547</v>
      </c>
      <c r="D86" s="1" t="s">
        <v>548</v>
      </c>
      <c r="E86" s="1" t="n">
        <f aca="false">'1. Elec Ref Grid'!B86</f>
        <v>1800</v>
      </c>
    </row>
    <row r="87" customFormat="false" ht="13.8" hidden="false" customHeight="false" outlineLevel="0" collapsed="false">
      <c r="A87" s="1" t="str">
        <f aca="false">LEFT('1. Elec Ref Grid'!A87,FIND("-",'1. Elec Ref Grid'!A87)-1)</f>
        <v>HU00</v>
      </c>
      <c r="B87" s="1" t="str">
        <f aca="false">RIGHT('1. Elec Ref Grid'!A87,LEN('1. Elec Ref Grid'!A87)-FIND("-",'1. Elec Ref Grid'!A87))</f>
        <v>UA01</v>
      </c>
      <c r="C87" s="1" t="s">
        <v>547</v>
      </c>
      <c r="D87" s="1" t="s">
        <v>548</v>
      </c>
      <c r="E87" s="1" t="n">
        <f aca="false">'1. Elec Ref Grid'!B87</f>
        <v>450</v>
      </c>
    </row>
    <row r="88" customFormat="false" ht="13.8" hidden="false" customHeight="false" outlineLevel="0" collapsed="false">
      <c r="A88" s="1" t="str">
        <f aca="false">LEFT('1. Elec Ref Grid'!A88,FIND("-",'1. Elec Ref Grid'!A88)-1)</f>
        <v>IE00</v>
      </c>
      <c r="B88" s="1" t="str">
        <f aca="false">RIGHT('1. Elec Ref Grid'!A88,LEN('1. Elec Ref Grid'!A88)-FIND("-",'1. Elec Ref Grid'!A88))</f>
        <v>UK00</v>
      </c>
      <c r="C88" s="1" t="s">
        <v>547</v>
      </c>
      <c r="D88" s="1" t="s">
        <v>548</v>
      </c>
      <c r="E88" s="1" t="n">
        <f aca="false">'1. Elec Ref Grid'!B88</f>
        <v>1750</v>
      </c>
    </row>
    <row r="89" customFormat="false" ht="13.8" hidden="false" customHeight="false" outlineLevel="0" collapsed="false">
      <c r="A89" s="1" t="str">
        <f aca="false">LEFT('1. Elec Ref Grid'!A89,FIND("-",'1. Elec Ref Grid'!A89)-1)</f>
        <v>IE00</v>
      </c>
      <c r="B89" s="1" t="str">
        <f aca="false">RIGHT('1. Elec Ref Grid'!A89,LEN('1. Elec Ref Grid'!A89)-FIND("-",'1. Elec Ref Grid'!A89))</f>
        <v>UKNI</v>
      </c>
      <c r="C89" s="1" t="s">
        <v>547</v>
      </c>
      <c r="D89" s="1" t="s">
        <v>548</v>
      </c>
      <c r="E89" s="1" t="n">
        <f aca="false">'1. Elec Ref Grid'!B89</f>
        <v>1250</v>
      </c>
    </row>
    <row r="90" customFormat="false" ht="13.8" hidden="false" customHeight="false" outlineLevel="0" collapsed="false">
      <c r="A90" s="1" t="str">
        <f aca="false">LEFT('1. Elec Ref Grid'!A90,FIND("-",'1. Elec Ref Grid'!A90)-1)</f>
        <v>IL00</v>
      </c>
      <c r="B90" s="1" t="str">
        <f aca="false">RIGHT('1. Elec Ref Grid'!A90,LEN('1. Elec Ref Grid'!A90)-FIND("-",'1. Elec Ref Grid'!A90))</f>
        <v>PS00</v>
      </c>
      <c r="C90" s="1" t="s">
        <v>547</v>
      </c>
      <c r="D90" s="1" t="s">
        <v>548</v>
      </c>
      <c r="E90" s="1" t="n">
        <f aca="false">'1. Elec Ref Grid'!B90</f>
        <v>3000</v>
      </c>
    </row>
    <row r="91" customFormat="false" ht="13.8" hidden="false" customHeight="false" outlineLevel="0" collapsed="false">
      <c r="A91" s="1" t="str">
        <f aca="false">LEFT('1. Elec Ref Grid'!A91,FIND("-",'1. Elec Ref Grid'!A91)-1)</f>
        <v>IS00</v>
      </c>
      <c r="B91" s="1" t="str">
        <f aca="false">RIGHT('1. Elec Ref Grid'!A91,LEN('1. Elec Ref Grid'!A91)-FIND("-",'1. Elec Ref Grid'!A91))</f>
        <v>UK00</v>
      </c>
      <c r="C91" s="1" t="s">
        <v>547</v>
      </c>
      <c r="D91" s="1" t="s">
        <v>548</v>
      </c>
      <c r="E91" s="1" t="n">
        <f aca="false">'1. Elec Ref Grid'!B91</f>
        <v>0</v>
      </c>
    </row>
    <row r="92" customFormat="false" ht="13.8" hidden="false" customHeight="false" outlineLevel="0" collapsed="false">
      <c r="A92" s="1" t="str">
        <f aca="false">LEFT('1. Elec Ref Grid'!A92,FIND("-",'1. Elec Ref Grid'!A92)-1)</f>
        <v>ITCN</v>
      </c>
      <c r="B92" s="1" t="str">
        <f aca="false">RIGHT('1. Elec Ref Grid'!A92,LEN('1. Elec Ref Grid'!A92)-FIND("-",'1. Elec Ref Grid'!A92))</f>
        <v>ITCO</v>
      </c>
      <c r="C92" s="1" t="s">
        <v>547</v>
      </c>
      <c r="D92" s="1" t="s">
        <v>548</v>
      </c>
      <c r="E92" s="1" t="n">
        <f aca="false">'1. Elec Ref Grid'!B92</f>
        <v>400</v>
      </c>
    </row>
    <row r="93" customFormat="false" ht="13.8" hidden="false" customHeight="false" outlineLevel="0" collapsed="false">
      <c r="A93" s="1" t="str">
        <f aca="false">LEFT('1. Elec Ref Grid'!A93,FIND("-",'1. Elec Ref Grid'!A93)-1)</f>
        <v>ITCN</v>
      </c>
      <c r="B93" s="1" t="str">
        <f aca="false">RIGHT('1. Elec Ref Grid'!A93,LEN('1. Elec Ref Grid'!A93)-FIND("-",'1. Elec Ref Grid'!A93))</f>
        <v>ITCS</v>
      </c>
      <c r="C93" s="1" t="s">
        <v>547</v>
      </c>
      <c r="D93" s="1" t="s">
        <v>548</v>
      </c>
      <c r="E93" s="1" t="n">
        <f aca="false">'1. Elec Ref Grid'!B93</f>
        <v>4650</v>
      </c>
    </row>
    <row r="94" customFormat="false" ht="13.8" hidden="false" customHeight="false" outlineLevel="0" collapsed="false">
      <c r="A94" s="1" t="str">
        <f aca="false">LEFT('1. Elec Ref Grid'!A94,FIND("-",'1. Elec Ref Grid'!A94)-1)</f>
        <v>ITCN</v>
      </c>
      <c r="B94" s="1" t="str">
        <f aca="false">RIGHT('1. Elec Ref Grid'!A94,LEN('1. Elec Ref Grid'!A94)-FIND("-",'1. Elec Ref Grid'!A94))</f>
        <v>ITN1</v>
      </c>
      <c r="C94" s="1" t="s">
        <v>547</v>
      </c>
      <c r="D94" s="1" t="s">
        <v>548</v>
      </c>
      <c r="E94" s="1" t="n">
        <f aca="false">'1. Elec Ref Grid'!B94</f>
        <v>4500</v>
      </c>
    </row>
    <row r="95" customFormat="false" ht="13.8" hidden="false" customHeight="false" outlineLevel="0" collapsed="false">
      <c r="A95" s="1" t="str">
        <f aca="false">LEFT('1. Elec Ref Grid'!A95,FIND("-",'1. Elec Ref Grid'!A95)-1)</f>
        <v>ITCO</v>
      </c>
      <c r="B95" s="1" t="str">
        <f aca="false">RIGHT('1. Elec Ref Grid'!A95,LEN('1. Elec Ref Grid'!A95)-FIND("-",'1. Elec Ref Grid'!A95))</f>
        <v>ITSA</v>
      </c>
      <c r="C95" s="1" t="s">
        <v>547</v>
      </c>
      <c r="D95" s="1" t="s">
        <v>548</v>
      </c>
      <c r="E95" s="1" t="n">
        <f aca="false">'1. Elec Ref Grid'!B95</f>
        <v>420</v>
      </c>
    </row>
    <row r="96" customFormat="false" ht="13.8" hidden="false" customHeight="false" outlineLevel="0" collapsed="false">
      <c r="A96" s="1" t="str">
        <f aca="false">LEFT('1. Elec Ref Grid'!A96,FIND("-",'1. Elec Ref Grid'!A96)-1)</f>
        <v>ITCS</v>
      </c>
      <c r="B96" s="1" t="str">
        <f aca="false">RIGHT('1. Elec Ref Grid'!A96,LEN('1. Elec Ref Grid'!A96)-FIND("-",'1. Elec Ref Grid'!A96))</f>
        <v>ITS1</v>
      </c>
      <c r="C96" s="1" t="s">
        <v>547</v>
      </c>
      <c r="D96" s="1" t="s">
        <v>548</v>
      </c>
      <c r="E96" s="1" t="n">
        <f aca="false">'1. Elec Ref Grid'!B96</f>
        <v>3100</v>
      </c>
    </row>
    <row r="97" customFormat="false" ht="13.8" hidden="false" customHeight="false" outlineLevel="0" collapsed="false">
      <c r="A97" s="1" t="str">
        <f aca="false">LEFT('1. Elec Ref Grid'!A97,FIND("-",'1. Elec Ref Grid'!A97)-1)</f>
        <v>ITCS</v>
      </c>
      <c r="B97" s="1" t="str">
        <f aca="false">RIGHT('1. Elec Ref Grid'!A97,LEN('1. Elec Ref Grid'!A97)-FIND("-",'1. Elec Ref Grid'!A97))</f>
        <v>ITSA</v>
      </c>
      <c r="C97" s="1" t="s">
        <v>547</v>
      </c>
      <c r="D97" s="1" t="s">
        <v>548</v>
      </c>
      <c r="E97" s="1" t="n">
        <f aca="false">'1. Elec Ref Grid'!B97</f>
        <v>720</v>
      </c>
    </row>
    <row r="98" customFormat="false" ht="13.8" hidden="false" customHeight="false" outlineLevel="0" collapsed="false">
      <c r="A98" s="1" t="str">
        <f aca="false">LEFT('1. Elec Ref Grid'!A98,FIND("-",'1. Elec Ref Grid'!A98)-1)</f>
        <v>ITCS</v>
      </c>
      <c r="B98" s="1" t="str">
        <f aca="false">RIGHT('1. Elec Ref Grid'!A98,LEN('1. Elec Ref Grid'!A98)-FIND("-",'1. Elec Ref Grid'!A98))</f>
        <v>ITSIvirt</v>
      </c>
      <c r="C98" s="1" t="s">
        <v>547</v>
      </c>
      <c r="D98" s="1" t="s">
        <v>548</v>
      </c>
      <c r="E98" s="1" t="n">
        <f aca="false">'1. Elec Ref Grid'!B98</f>
        <v>1000</v>
      </c>
    </row>
    <row r="99" customFormat="false" ht="13.8" hidden="false" customHeight="false" outlineLevel="0" collapsed="false">
      <c r="A99" s="1" t="str">
        <f aca="false">LEFT('1. Elec Ref Grid'!A99,FIND("-",'1. Elec Ref Grid'!A99)-1)</f>
        <v>ITCS</v>
      </c>
      <c r="B99" s="1" t="str">
        <f aca="false">RIGHT('1. Elec Ref Grid'!A99,LEN('1. Elec Ref Grid'!A99)-FIND("-",'1. Elec Ref Grid'!A99))</f>
        <v>ME00</v>
      </c>
      <c r="C99" s="1" t="s">
        <v>547</v>
      </c>
      <c r="D99" s="1" t="s">
        <v>548</v>
      </c>
      <c r="E99" s="1" t="n">
        <f aca="false">'1. Elec Ref Grid'!B99</f>
        <v>600</v>
      </c>
    </row>
    <row r="100" customFormat="false" ht="13.8" hidden="false" customHeight="false" outlineLevel="0" collapsed="false">
      <c r="A100" s="1" t="str">
        <f aca="false">LEFT('1. Elec Ref Grid'!A100,FIND("-",'1. Elec Ref Grid'!A100)-1)</f>
        <v>ITN1</v>
      </c>
      <c r="B100" s="1" t="str">
        <f aca="false">RIGHT('1. Elec Ref Grid'!A100,LEN('1. Elec Ref Grid'!A100)-FIND("-",'1. Elec Ref Grid'!A100))</f>
        <v>SI00</v>
      </c>
      <c r="C100" s="1" t="s">
        <v>547</v>
      </c>
      <c r="D100" s="1" t="s">
        <v>548</v>
      </c>
      <c r="E100" s="1" t="n">
        <f aca="false">'1. Elec Ref Grid'!B100</f>
        <v>1080</v>
      </c>
    </row>
    <row r="101" customFormat="false" ht="13.8" hidden="false" customHeight="false" outlineLevel="0" collapsed="false">
      <c r="A101" s="1" t="str">
        <f aca="false">LEFT('1. Elec Ref Grid'!A101,FIND("-",'1. Elec Ref Grid'!A101)-1)</f>
        <v>ITS1</v>
      </c>
      <c r="B101" s="1" t="str">
        <f aca="false">RIGHT('1. Elec Ref Grid'!A101,LEN('1. Elec Ref Grid'!A101)-FIND("-",'1. Elec Ref Grid'!A101))</f>
        <v>ITCA</v>
      </c>
      <c r="C101" s="1" t="s">
        <v>547</v>
      </c>
      <c r="D101" s="1" t="s">
        <v>548</v>
      </c>
      <c r="E101" s="1" t="n">
        <f aca="false">'1. Elec Ref Grid'!B101</f>
        <v>2000</v>
      </c>
    </row>
    <row r="102" customFormat="false" ht="13.8" hidden="false" customHeight="false" outlineLevel="0" collapsed="false">
      <c r="A102" s="1" t="str">
        <f aca="false">LEFT('1. Elec Ref Grid'!A102,FIND("-",'1. Elec Ref Grid'!A102)-1)</f>
        <v>ITSA</v>
      </c>
      <c r="B102" s="1" t="str">
        <f aca="false">RIGHT('1. Elec Ref Grid'!A102,LEN('1. Elec Ref Grid'!A102)-FIND("-",'1. Elec Ref Grid'!A102))</f>
        <v>ITSIvirt</v>
      </c>
      <c r="C102" s="1" t="s">
        <v>547</v>
      </c>
      <c r="D102" s="1" t="s">
        <v>548</v>
      </c>
      <c r="E102" s="1" t="n">
        <f aca="false">'1. Elec Ref Grid'!B102</f>
        <v>1000</v>
      </c>
    </row>
    <row r="103" customFormat="false" ht="13.8" hidden="false" customHeight="false" outlineLevel="0" collapsed="false">
      <c r="A103" s="1" t="str">
        <f aca="false">LEFT('1. Elec Ref Grid'!A103,FIND("-",'1. Elec Ref Grid'!A103)-1)</f>
        <v>ITSI</v>
      </c>
      <c r="B103" s="1" t="str">
        <f aca="false">RIGHT('1. Elec Ref Grid'!A103,LEN('1. Elec Ref Grid'!A103)-FIND("-",'1. Elec Ref Grid'!A103))</f>
        <v>ITCA</v>
      </c>
      <c r="C103" s="1" t="s">
        <v>547</v>
      </c>
      <c r="D103" s="1" t="s">
        <v>548</v>
      </c>
      <c r="E103" s="1" t="n">
        <f aca="false">'1. Elec Ref Grid'!B103</f>
        <v>2000</v>
      </c>
    </row>
    <row r="104" customFormat="false" ht="13.8" hidden="false" customHeight="false" outlineLevel="0" collapsed="false">
      <c r="A104" s="1" t="str">
        <f aca="false">LEFT('1. Elec Ref Grid'!A104,FIND("-",'1. Elec Ref Grid'!A104)-1)</f>
        <v>ITSI</v>
      </c>
      <c r="B104" s="1" t="str">
        <f aca="false">RIGHT('1. Elec Ref Grid'!A104,LEN('1. Elec Ref Grid'!A104)-FIND("-",'1. Elec Ref Grid'!A104))</f>
        <v>ITSIvirt</v>
      </c>
      <c r="C104" s="1" t="s">
        <v>547</v>
      </c>
      <c r="D104" s="1" t="s">
        <v>548</v>
      </c>
      <c r="E104" s="1" t="n">
        <f aca="false">'1. Elec Ref Grid'!B104</f>
        <v>1500</v>
      </c>
    </row>
    <row r="105" customFormat="false" ht="13.8" hidden="false" customHeight="false" outlineLevel="0" collapsed="false">
      <c r="A105" s="1" t="str">
        <f aca="false">LEFT('1. Elec Ref Grid'!A105,FIND("-",'1. Elec Ref Grid'!A105)-1)</f>
        <v>ITSI</v>
      </c>
      <c r="B105" s="1" t="str">
        <f aca="false">RIGHT('1. Elec Ref Grid'!A105,LEN('1. Elec Ref Grid'!A105)-FIND("-",'1. Elec Ref Grid'!A105))</f>
        <v>MT00</v>
      </c>
      <c r="C105" s="1" t="s">
        <v>547</v>
      </c>
      <c r="D105" s="1" t="s">
        <v>548</v>
      </c>
      <c r="E105" s="1" t="n">
        <f aca="false">'1. Elec Ref Grid'!B105</f>
        <v>225</v>
      </c>
    </row>
    <row r="106" customFormat="false" ht="13.8" hidden="false" customHeight="false" outlineLevel="0" collapsed="false">
      <c r="A106" s="1" t="str">
        <f aca="false">LEFT('1. Elec Ref Grid'!A106,FIND("-",'1. Elec Ref Grid'!A106)-1)</f>
        <v>ITSI</v>
      </c>
      <c r="B106" s="1" t="str">
        <f aca="false">RIGHT('1. Elec Ref Grid'!A106,LEN('1. Elec Ref Grid'!A106)-FIND("-",'1. Elec Ref Grid'!A106))</f>
        <v>TN00</v>
      </c>
      <c r="C106" s="1" t="s">
        <v>547</v>
      </c>
      <c r="D106" s="1" t="s">
        <v>548</v>
      </c>
      <c r="E106" s="1" t="n">
        <f aca="false">'1. Elec Ref Grid'!B106</f>
        <v>600</v>
      </c>
    </row>
    <row r="107" customFormat="false" ht="13.8" hidden="false" customHeight="false" outlineLevel="0" collapsed="false">
      <c r="A107" s="1" t="str">
        <f aca="false">LEFT('1. Elec Ref Grid'!A107,FIND("-",'1. Elec Ref Grid'!A107)-1)</f>
        <v>LT00</v>
      </c>
      <c r="B107" s="1" t="str">
        <f aca="false">RIGHT('1. Elec Ref Grid'!A107,LEN('1. Elec Ref Grid'!A107)-FIND("-",'1. Elec Ref Grid'!A107))</f>
        <v>LV00</v>
      </c>
      <c r="C107" s="1" t="s">
        <v>547</v>
      </c>
      <c r="D107" s="1" t="s">
        <v>548</v>
      </c>
      <c r="E107" s="1" t="n">
        <f aca="false">'1. Elec Ref Grid'!B107</f>
        <v>950</v>
      </c>
    </row>
    <row r="108" customFormat="false" ht="13.8" hidden="false" customHeight="false" outlineLevel="0" collapsed="false">
      <c r="A108" s="1" t="str">
        <f aca="false">LEFT('1. Elec Ref Grid'!A108,FIND("-",'1. Elec Ref Grid'!A108)-1)</f>
        <v>LT00</v>
      </c>
      <c r="B108" s="1" t="str">
        <f aca="false">RIGHT('1. Elec Ref Grid'!A108,LEN('1. Elec Ref Grid'!A108)-FIND("-",'1. Elec Ref Grid'!A108))</f>
        <v>PL00</v>
      </c>
      <c r="C108" s="1" t="s">
        <v>547</v>
      </c>
      <c r="D108" s="1" t="s">
        <v>548</v>
      </c>
      <c r="E108" s="1" t="n">
        <f aca="false">'1. Elec Ref Grid'!B108</f>
        <v>700</v>
      </c>
    </row>
    <row r="109" customFormat="false" ht="13.8" hidden="false" customHeight="false" outlineLevel="0" collapsed="false">
      <c r="A109" s="1" t="str">
        <f aca="false">LEFT('1. Elec Ref Grid'!A109,FIND("-",'1. Elec Ref Grid'!A109)-1)</f>
        <v>LT00</v>
      </c>
      <c r="B109" s="1" t="str">
        <f aca="false">RIGHT('1. Elec Ref Grid'!A109,LEN('1. Elec Ref Grid'!A109)-FIND("-",'1. Elec Ref Grid'!A109))</f>
        <v>SE04</v>
      </c>
      <c r="C109" s="1" t="s">
        <v>547</v>
      </c>
      <c r="D109" s="1" t="s">
        <v>548</v>
      </c>
      <c r="E109" s="1" t="n">
        <f aca="false">'1. Elec Ref Grid'!B109</f>
        <v>700</v>
      </c>
    </row>
    <row r="110" customFormat="false" ht="13.8" hidden="false" customHeight="false" outlineLevel="0" collapsed="false">
      <c r="A110" s="1" t="str">
        <f aca="false">LEFT('1. Elec Ref Grid'!A110,FIND("-",'1. Elec Ref Grid'!A110)-1)</f>
        <v>LY00</v>
      </c>
      <c r="B110" s="1" t="str">
        <f aca="false">RIGHT('1. Elec Ref Grid'!A110,LEN('1. Elec Ref Grid'!A110)-FIND("-",'1. Elec Ref Grid'!A110))</f>
        <v>TN00</v>
      </c>
      <c r="C110" s="1" t="s">
        <v>547</v>
      </c>
      <c r="D110" s="1" t="s">
        <v>548</v>
      </c>
      <c r="E110" s="1" t="n">
        <f aca="false">'1. Elec Ref Grid'!B110</f>
        <v>500</v>
      </c>
    </row>
    <row r="111" customFormat="false" ht="13.8" hidden="false" customHeight="false" outlineLevel="0" collapsed="false">
      <c r="A111" s="1" t="str">
        <f aca="false">LEFT('1. Elec Ref Grid'!A111,FIND("-",'1. Elec Ref Grid'!A111)-1)</f>
        <v>ME00</v>
      </c>
      <c r="B111" s="1" t="str">
        <f aca="false">RIGHT('1. Elec Ref Grid'!A111,LEN('1. Elec Ref Grid'!A111)-FIND("-",'1. Elec Ref Grid'!A111))</f>
        <v>RS00</v>
      </c>
      <c r="C111" s="1" t="s">
        <v>547</v>
      </c>
      <c r="D111" s="1" t="s">
        <v>548</v>
      </c>
      <c r="E111" s="1" t="n">
        <f aca="false">'1. Elec Ref Grid'!B111</f>
        <v>540</v>
      </c>
    </row>
    <row r="112" customFormat="false" ht="13.8" hidden="false" customHeight="false" outlineLevel="0" collapsed="false">
      <c r="A112" s="1" t="str">
        <f aca="false">LEFT('1. Elec Ref Grid'!A112,FIND("-",'1. Elec Ref Grid'!A112)-1)</f>
        <v>MK00</v>
      </c>
      <c r="B112" s="1" t="str">
        <f aca="false">RIGHT('1. Elec Ref Grid'!A112,LEN('1. Elec Ref Grid'!A112)-FIND("-",'1. Elec Ref Grid'!A112))</f>
        <v>RS00</v>
      </c>
      <c r="C112" s="1" t="s">
        <v>547</v>
      </c>
      <c r="D112" s="1" t="s">
        <v>548</v>
      </c>
      <c r="E112" s="1" t="n">
        <f aca="false">'1. Elec Ref Grid'!B112</f>
        <v>460</v>
      </c>
    </row>
    <row r="113" customFormat="false" ht="13.8" hidden="false" customHeight="false" outlineLevel="0" collapsed="false">
      <c r="A113" s="1" t="str">
        <f aca="false">LEFT('1. Elec Ref Grid'!A113,FIND("-",'1. Elec Ref Grid'!A113)-1)</f>
        <v>NL00</v>
      </c>
      <c r="B113" s="1" t="str">
        <f aca="false">RIGHT('1. Elec Ref Grid'!A113,LEN('1. Elec Ref Grid'!A113)-FIND("-",'1. Elec Ref Grid'!A113))</f>
        <v>NOS0</v>
      </c>
      <c r="C113" s="1" t="s">
        <v>547</v>
      </c>
      <c r="D113" s="1" t="s">
        <v>548</v>
      </c>
      <c r="E113" s="1" t="n">
        <f aca="false">'1. Elec Ref Grid'!B113</f>
        <v>700</v>
      </c>
    </row>
    <row r="114" customFormat="false" ht="13.8" hidden="false" customHeight="false" outlineLevel="0" collapsed="false">
      <c r="A114" s="1" t="str">
        <f aca="false">LEFT('1. Elec Ref Grid'!A114,FIND("-",'1. Elec Ref Grid'!A114)-1)</f>
        <v>NL00</v>
      </c>
      <c r="B114" s="1" t="str">
        <f aca="false">RIGHT('1. Elec Ref Grid'!A114,LEN('1. Elec Ref Grid'!A114)-FIND("-",'1. Elec Ref Grid'!A114))</f>
        <v>UK00</v>
      </c>
      <c r="C114" s="1" t="s">
        <v>547</v>
      </c>
      <c r="D114" s="1" t="s">
        <v>548</v>
      </c>
      <c r="E114" s="1" t="n">
        <f aca="false">'1. Elec Ref Grid'!B114</f>
        <v>1000</v>
      </c>
    </row>
    <row r="115" customFormat="false" ht="13.8" hidden="false" customHeight="false" outlineLevel="0" collapsed="false">
      <c r="A115" s="1" t="str">
        <f aca="false">LEFT('1. Elec Ref Grid'!A115,FIND("-",'1. Elec Ref Grid'!A115)-1)</f>
        <v>NOM1</v>
      </c>
      <c r="B115" s="1" t="str">
        <f aca="false">RIGHT('1. Elec Ref Grid'!A115,LEN('1. Elec Ref Grid'!A115)-FIND("-",'1. Elec Ref Grid'!A115))</f>
        <v>NON1</v>
      </c>
      <c r="C115" s="1" t="s">
        <v>547</v>
      </c>
      <c r="D115" s="1" t="s">
        <v>548</v>
      </c>
      <c r="E115" s="1" t="n">
        <f aca="false">'1. Elec Ref Grid'!B115</f>
        <v>350</v>
      </c>
    </row>
    <row r="116" customFormat="false" ht="13.8" hidden="false" customHeight="false" outlineLevel="0" collapsed="false">
      <c r="A116" s="1" t="str">
        <f aca="false">LEFT('1. Elec Ref Grid'!A116,FIND("-",'1. Elec Ref Grid'!A116)-1)</f>
        <v>NOM1</v>
      </c>
      <c r="B116" s="1" t="str">
        <f aca="false">RIGHT('1. Elec Ref Grid'!A116,LEN('1. Elec Ref Grid'!A116)-FIND("-",'1. Elec Ref Grid'!A116))</f>
        <v>NOS0</v>
      </c>
      <c r="C116" s="1" t="s">
        <v>547</v>
      </c>
      <c r="D116" s="1" t="s">
        <v>548</v>
      </c>
      <c r="E116" s="1" t="n">
        <f aca="false">'1. Elec Ref Grid'!B116</f>
        <v>800</v>
      </c>
    </row>
    <row r="117" customFormat="false" ht="13.8" hidden="false" customHeight="false" outlineLevel="0" collapsed="false">
      <c r="A117" s="1" t="str">
        <f aca="false">LEFT('1. Elec Ref Grid'!A117,FIND("-",'1. Elec Ref Grid'!A117)-1)</f>
        <v>NOM1</v>
      </c>
      <c r="B117" s="1" t="str">
        <f aca="false">RIGHT('1. Elec Ref Grid'!A117,LEN('1. Elec Ref Grid'!A117)-FIND("-",'1. Elec Ref Grid'!A117))</f>
        <v>SE02</v>
      </c>
      <c r="C117" s="1" t="s">
        <v>547</v>
      </c>
      <c r="D117" s="1" t="s">
        <v>548</v>
      </c>
      <c r="E117" s="1" t="n">
        <f aca="false">'1. Elec Ref Grid'!B117</f>
        <v>600</v>
      </c>
    </row>
    <row r="118" customFormat="false" ht="13.8" hidden="false" customHeight="false" outlineLevel="0" collapsed="false">
      <c r="A118" s="1" t="str">
        <f aca="false">LEFT('1. Elec Ref Grid'!A118,FIND("-",'1. Elec Ref Grid'!A118)-1)</f>
        <v>NON1</v>
      </c>
      <c r="B118" s="1" t="str">
        <f aca="false">RIGHT('1. Elec Ref Grid'!A118,LEN('1. Elec Ref Grid'!A118)-FIND("-",'1. Elec Ref Grid'!A118))</f>
        <v>SE01</v>
      </c>
      <c r="C118" s="1" t="s">
        <v>547</v>
      </c>
      <c r="D118" s="1" t="s">
        <v>548</v>
      </c>
      <c r="E118" s="1" t="n">
        <f aca="false">'1. Elec Ref Grid'!B118</f>
        <v>700</v>
      </c>
    </row>
    <row r="119" customFormat="false" ht="13.8" hidden="false" customHeight="false" outlineLevel="0" collapsed="false">
      <c r="A119" s="1" t="str">
        <f aca="false">LEFT('1. Elec Ref Grid'!A119,FIND("-",'1. Elec Ref Grid'!A119)-1)</f>
        <v>NON1</v>
      </c>
      <c r="B119" s="1" t="str">
        <f aca="false">RIGHT('1. Elec Ref Grid'!A119,LEN('1. Elec Ref Grid'!A119)-FIND("-",'1. Elec Ref Grid'!A119))</f>
        <v>SE02</v>
      </c>
      <c r="C119" s="1" t="s">
        <v>547</v>
      </c>
      <c r="D119" s="1" t="s">
        <v>548</v>
      </c>
      <c r="E119" s="1" t="n">
        <f aca="false">'1. Elec Ref Grid'!B119</f>
        <v>250</v>
      </c>
    </row>
    <row r="120" customFormat="false" ht="13.8" hidden="false" customHeight="false" outlineLevel="0" collapsed="false">
      <c r="A120" s="1" t="str">
        <f aca="false">LEFT('1. Elec Ref Grid'!A120,FIND("-",'1. Elec Ref Grid'!A120)-1)</f>
        <v>NOS0</v>
      </c>
      <c r="B120" s="1" t="str">
        <f aca="false">RIGHT('1. Elec Ref Grid'!A120,LEN('1. Elec Ref Grid'!A120)-FIND("-",'1. Elec Ref Grid'!A120))</f>
        <v>SE03</v>
      </c>
      <c r="C120" s="1" t="s">
        <v>547</v>
      </c>
      <c r="D120" s="1" t="s">
        <v>548</v>
      </c>
      <c r="E120" s="1" t="n">
        <f aca="false">'1. Elec Ref Grid'!B120</f>
        <v>2145</v>
      </c>
    </row>
    <row r="121" customFormat="false" ht="13.8" hidden="false" customHeight="false" outlineLevel="0" collapsed="false">
      <c r="A121" s="1" t="str">
        <f aca="false">LEFT('1. Elec Ref Grid'!A121,FIND("-",'1. Elec Ref Grid'!A121)-1)</f>
        <v>PL00E</v>
      </c>
      <c r="B121" s="1" t="str">
        <f aca="false">RIGHT('1. Elec Ref Grid'!A121,LEN('1. Elec Ref Grid'!A121)-FIND("-",'1. Elec Ref Grid'!A121))</f>
        <v>CZ00</v>
      </c>
      <c r="C121" s="1" t="s">
        <v>547</v>
      </c>
      <c r="D121" s="1" t="s">
        <v>548</v>
      </c>
      <c r="E121" s="1" t="n">
        <f aca="false">'1. Elec Ref Grid'!B121</f>
        <v>800</v>
      </c>
    </row>
    <row r="122" customFormat="false" ht="13.8" hidden="false" customHeight="false" outlineLevel="0" collapsed="false">
      <c r="A122" s="1" t="str">
        <f aca="false">LEFT('1. Elec Ref Grid'!A122,FIND("-",'1. Elec Ref Grid'!A122)-1)</f>
        <v>PL00E</v>
      </c>
      <c r="B122" s="1" t="str">
        <f aca="false">RIGHT('1. Elec Ref Grid'!A122,LEN('1. Elec Ref Grid'!A122)-FIND("-",'1. Elec Ref Grid'!A122))</f>
        <v>DE00</v>
      </c>
      <c r="C122" s="1" t="s">
        <v>547</v>
      </c>
      <c r="D122" s="1" t="s">
        <v>548</v>
      </c>
      <c r="E122" s="1" t="n">
        <f aca="false">'1. Elec Ref Grid'!B122</f>
        <v>3000</v>
      </c>
    </row>
    <row r="123" customFormat="false" ht="13.8" hidden="false" customHeight="false" outlineLevel="0" collapsed="false">
      <c r="A123" s="1" t="str">
        <f aca="false">LEFT('1. Elec Ref Grid'!A123,FIND("-",'1. Elec Ref Grid'!A123)-1)</f>
        <v>PL00E</v>
      </c>
      <c r="B123" s="1" t="str">
        <f aca="false">RIGHT('1. Elec Ref Grid'!A123,LEN('1. Elec Ref Grid'!A123)-FIND("-",'1. Elec Ref Grid'!A123))</f>
        <v>SK00</v>
      </c>
      <c r="C123" s="1" t="s">
        <v>547</v>
      </c>
      <c r="D123" s="1" t="s">
        <v>548</v>
      </c>
      <c r="E123" s="1" t="n">
        <f aca="false">'1. Elec Ref Grid'!B123</f>
        <v>781</v>
      </c>
    </row>
    <row r="124" customFormat="false" ht="13.8" hidden="false" customHeight="false" outlineLevel="0" collapsed="false">
      <c r="A124" s="1" t="str">
        <f aca="false">LEFT('1. Elec Ref Grid'!A124,FIND("-",'1. Elec Ref Grid'!A124)-1)</f>
        <v>PL00I</v>
      </c>
      <c r="B124" s="1" t="str">
        <f aca="false">RIGHT('1. Elec Ref Grid'!A124,LEN('1. Elec Ref Grid'!A124)-FIND("-",'1. Elec Ref Grid'!A124))</f>
        <v>PL00</v>
      </c>
      <c r="C124" s="1" t="s">
        <v>547</v>
      </c>
      <c r="D124" s="1" t="s">
        <v>548</v>
      </c>
      <c r="E124" s="1" t="n">
        <f aca="false">'1. Elec Ref Grid'!B124</f>
        <v>3000</v>
      </c>
    </row>
    <row r="125" customFormat="false" ht="13.8" hidden="false" customHeight="false" outlineLevel="0" collapsed="false">
      <c r="A125" s="1" t="str">
        <f aca="false">LEFT('1. Elec Ref Grid'!A125,FIND("-",'1. Elec Ref Grid'!A125)-1)</f>
        <v>PL00</v>
      </c>
      <c r="B125" s="1" t="str">
        <f aca="false">RIGHT('1. Elec Ref Grid'!A125,LEN('1. Elec Ref Grid'!A125)-FIND("-",'1. Elec Ref Grid'!A125))</f>
        <v>PL00E</v>
      </c>
      <c r="C125" s="1" t="s">
        <v>547</v>
      </c>
      <c r="D125" s="1" t="s">
        <v>548</v>
      </c>
      <c r="E125" s="1" t="n">
        <f aca="false">'1. Elec Ref Grid'!B125</f>
        <v>3000</v>
      </c>
    </row>
    <row r="126" customFormat="false" ht="13.8" hidden="false" customHeight="false" outlineLevel="0" collapsed="false">
      <c r="A126" s="1" t="str">
        <f aca="false">LEFT('1. Elec Ref Grid'!A126,FIND("-",'1. Elec Ref Grid'!A126)-1)</f>
        <v>PL00</v>
      </c>
      <c r="B126" s="1" t="str">
        <f aca="false">RIGHT('1. Elec Ref Grid'!A126,LEN('1. Elec Ref Grid'!A126)-FIND("-",'1. Elec Ref Grid'!A126))</f>
        <v>SE04</v>
      </c>
      <c r="C126" s="1" t="s">
        <v>547</v>
      </c>
      <c r="D126" s="1" t="s">
        <v>548</v>
      </c>
      <c r="E126" s="1" t="n">
        <f aca="false">'1. Elec Ref Grid'!B126</f>
        <v>600</v>
      </c>
    </row>
    <row r="127" customFormat="false" ht="13.8" hidden="false" customHeight="false" outlineLevel="0" collapsed="false">
      <c r="A127" s="1" t="str">
        <f aca="false">LEFT('1. Elec Ref Grid'!A127,FIND("-",'1. Elec Ref Grid'!A127)-1)</f>
        <v>RO00</v>
      </c>
      <c r="B127" s="1" t="str">
        <f aca="false">RIGHT('1. Elec Ref Grid'!A127,LEN('1. Elec Ref Grid'!A127)-FIND("-",'1. Elec Ref Grid'!A127))</f>
        <v>RS00</v>
      </c>
      <c r="C127" s="1" t="s">
        <v>547</v>
      </c>
      <c r="D127" s="1" t="s">
        <v>548</v>
      </c>
      <c r="E127" s="1" t="n">
        <f aca="false">'1. Elec Ref Grid'!B127</f>
        <v>1984</v>
      </c>
    </row>
    <row r="128" customFormat="false" ht="13.8" hidden="false" customHeight="false" outlineLevel="0" collapsed="false">
      <c r="A128" s="1" t="str">
        <f aca="false">LEFT('1. Elec Ref Grid'!A128,FIND("-",'1. Elec Ref Grid'!A128)-1)</f>
        <v>RO00</v>
      </c>
      <c r="B128" s="1" t="str">
        <f aca="false">RIGHT('1. Elec Ref Grid'!A128,LEN('1. Elec Ref Grid'!A128)-FIND("-",'1. Elec Ref Grid'!A128))</f>
        <v>UA01</v>
      </c>
      <c r="C128" s="1" t="s">
        <v>547</v>
      </c>
      <c r="D128" s="1" t="s">
        <v>548</v>
      </c>
      <c r="E128" s="1" t="n">
        <f aca="false">'1. Elec Ref Grid'!B128</f>
        <v>150</v>
      </c>
    </row>
    <row r="129" customFormat="false" ht="13.8" hidden="false" customHeight="false" outlineLevel="0" collapsed="false">
      <c r="A129" s="1" t="str">
        <f aca="false">LEFT('1. Elec Ref Grid'!A129,FIND("-",'1. Elec Ref Grid'!A129)-1)</f>
        <v>SE01</v>
      </c>
      <c r="B129" s="1" t="str">
        <f aca="false">RIGHT('1. Elec Ref Grid'!A129,LEN('1. Elec Ref Grid'!A129)-FIND("-",'1. Elec Ref Grid'!A129))</f>
        <v>SE02</v>
      </c>
      <c r="C129" s="1" t="s">
        <v>547</v>
      </c>
      <c r="D129" s="1" t="s">
        <v>548</v>
      </c>
      <c r="E129" s="1" t="n">
        <f aca="false">'1. Elec Ref Grid'!B129</f>
        <v>3300</v>
      </c>
    </row>
    <row r="130" customFormat="false" ht="13.8" hidden="false" customHeight="false" outlineLevel="0" collapsed="false">
      <c r="A130" s="1" t="str">
        <f aca="false">LEFT('1. Elec Ref Grid'!A130,FIND("-",'1. Elec Ref Grid'!A130)-1)</f>
        <v>SE02</v>
      </c>
      <c r="B130" s="1" t="str">
        <f aca="false">RIGHT('1. Elec Ref Grid'!A130,LEN('1. Elec Ref Grid'!A130)-FIND("-",'1. Elec Ref Grid'!A130))</f>
        <v>SE03</v>
      </c>
      <c r="C130" s="1" t="s">
        <v>547</v>
      </c>
      <c r="D130" s="1" t="s">
        <v>548</v>
      </c>
      <c r="E130" s="1" t="n">
        <f aca="false">'1. Elec Ref Grid'!B130</f>
        <v>7300</v>
      </c>
    </row>
    <row r="131" customFormat="false" ht="13.8" hidden="false" customHeight="false" outlineLevel="0" collapsed="false">
      <c r="A131" s="1" t="str">
        <f aca="false">LEFT('1. Elec Ref Grid'!A131,FIND("-",'1. Elec Ref Grid'!A131)-1)</f>
        <v>SE03</v>
      </c>
      <c r="B131" s="1" t="str">
        <f aca="false">RIGHT('1. Elec Ref Grid'!A131,LEN('1. Elec Ref Grid'!A131)-FIND("-",'1. Elec Ref Grid'!A131))</f>
        <v>SE04</v>
      </c>
      <c r="C131" s="1" t="s">
        <v>547</v>
      </c>
      <c r="D131" s="1" t="s">
        <v>548</v>
      </c>
      <c r="E131" s="1" t="n">
        <f aca="false">'1. Elec Ref Grid'!B131</f>
        <v>6200</v>
      </c>
    </row>
    <row r="132" customFormat="false" ht="13.8" hidden="false" customHeight="false" outlineLevel="0" collapsed="false">
      <c r="A132" s="1" t="str">
        <f aca="false">LEFT('1. Elec Ref Grid'!A132,FIND("-",'1. Elec Ref Grid'!A132)-1)</f>
        <v>SK00</v>
      </c>
      <c r="B132" s="1" t="str">
        <f aca="false">RIGHT('1. Elec Ref Grid'!A132,LEN('1. Elec Ref Grid'!A132)-FIND("-",'1. Elec Ref Grid'!A132))</f>
        <v>PL00I</v>
      </c>
      <c r="C132" s="1" t="s">
        <v>547</v>
      </c>
      <c r="D132" s="1" t="s">
        <v>548</v>
      </c>
      <c r="E132" s="1" t="n">
        <f aca="false">'1. Elec Ref Grid'!B132</f>
        <v>818</v>
      </c>
    </row>
    <row r="133" customFormat="false" ht="13.8" hidden="false" customHeight="false" outlineLevel="0" collapsed="false">
      <c r="A133" s="1" t="str">
        <f aca="false">LEFT('1. Elec Ref Grid'!A133,FIND("-",'1. Elec Ref Grid'!A133)-1)</f>
        <v>SK00</v>
      </c>
      <c r="B133" s="1" t="str">
        <f aca="false">RIGHT('1. Elec Ref Grid'!A133,LEN('1. Elec Ref Grid'!A133)-FIND("-",'1. Elec Ref Grid'!A133))</f>
        <v>UA01</v>
      </c>
      <c r="C133" s="1" t="s">
        <v>547</v>
      </c>
      <c r="D133" s="1" t="s">
        <v>548</v>
      </c>
      <c r="E133" s="1" t="n">
        <f aca="false">'1. Elec Ref Grid'!B133</f>
        <v>495</v>
      </c>
    </row>
    <row r="134" customFormat="false" ht="13.8" hidden="false" customHeight="false" outlineLevel="0" collapsed="false">
      <c r="A134" s="1" t="str">
        <f aca="false">LEFT('1. Elec Ref Grid'!A134,FIND("-",'1. Elec Ref Grid'!A134)-1)</f>
        <v>UK00</v>
      </c>
      <c r="B134" s="1" t="str">
        <f aca="false">RIGHT('1. Elec Ref Grid'!A134,LEN('1. Elec Ref Grid'!A134)-FIND("-",'1. Elec Ref Grid'!A134))</f>
        <v>NOS0</v>
      </c>
      <c r="C134" s="1" t="s">
        <v>547</v>
      </c>
      <c r="D134" s="1" t="s">
        <v>548</v>
      </c>
      <c r="E134" s="1" t="n">
        <f aca="false">'1. Elec Ref Grid'!B134</f>
        <v>1400</v>
      </c>
    </row>
    <row r="135" customFormat="false" ht="13.8" hidden="false" customHeight="false" outlineLevel="0" collapsed="false">
      <c r="A135" s="1" t="str">
        <f aca="false">LEFT('1. Elec Ref Grid'!A135,FIND("-",'1. Elec Ref Grid'!A135)-1)</f>
        <v>UK00</v>
      </c>
      <c r="B135" s="1" t="str">
        <f aca="false">RIGHT('1. Elec Ref Grid'!A135,LEN('1. Elec Ref Grid'!A135)-FIND("-",'1. Elec Ref Grid'!A135))</f>
        <v>UKNI</v>
      </c>
      <c r="C135" s="1" t="s">
        <v>547</v>
      </c>
      <c r="D135" s="1" t="s">
        <v>548</v>
      </c>
      <c r="E135" s="1" t="n">
        <f aca="false">'1. Elec Ref Grid'!B135</f>
        <v>450</v>
      </c>
    </row>
    <row r="136" customFormat="false" ht="13.8" hidden="false" customHeight="false" outlineLevel="0" collapsed="false">
      <c r="A136" s="1" t="str">
        <f aca="false">LEFT('1. Elec Ref Grid'!A136,FIND("-",'1. Elec Ref Grid'!A136)-1)</f>
        <v>MD00</v>
      </c>
      <c r="B136" s="1" t="str">
        <f aca="false">RIGHT('1. Elec Ref Grid'!A136,LEN('1. Elec Ref Grid'!A136)-FIND("-",'1. Elec Ref Grid'!A136))</f>
        <v>RO00</v>
      </c>
      <c r="C136" s="1" t="s">
        <v>547</v>
      </c>
      <c r="D136" s="1" t="s">
        <v>548</v>
      </c>
      <c r="E136" s="1" t="n">
        <f aca="false">'1. Elec Ref Grid'!B136</f>
        <v>480</v>
      </c>
    </row>
    <row r="137" customFormat="false" ht="13.8" hidden="false" customHeight="false" outlineLevel="0" collapsed="false">
      <c r="A137" s="1" t="str">
        <f aca="false">LEFT('1. Elec Ref Grid'!A137,FIND("-",'1. Elec Ref Grid'!A137)-1)</f>
        <v>ITCS</v>
      </c>
      <c r="B137" s="1" t="str">
        <f aca="false">RIGHT('1. Elec Ref Grid'!A137,LEN('1. Elec Ref Grid'!A137)-FIND("-",'1. Elec Ref Grid'!A137))</f>
        <v>ITN1</v>
      </c>
      <c r="C137" s="1" t="s">
        <v>547</v>
      </c>
      <c r="D137" s="1" t="s">
        <v>548</v>
      </c>
      <c r="E137" s="1" t="n">
        <f aca="false">'1. Elec Ref Grid'!B137</f>
        <v>2000</v>
      </c>
    </row>
    <row r="138" customFormat="false" ht="13.8" hidden="false" customHeight="false" outlineLevel="0" collapsed="false">
      <c r="A138" s="1" t="str">
        <f aca="false">LEFT('1. Elec Ref Grid'!A138,FIND("-",'1. Elec Ref Grid'!A138)-1)</f>
        <v>EG00</v>
      </c>
      <c r="B138" s="1" t="str">
        <f aca="false">RIGHT('1. Elec Ref Grid'!A138,LEN('1. Elec Ref Grid'!A138)-FIND("-",'1. Elec Ref Grid'!A138))</f>
        <v>GR03</v>
      </c>
      <c r="C138" s="1" t="s">
        <v>547</v>
      </c>
      <c r="D138" s="1" t="s">
        <v>548</v>
      </c>
      <c r="E138" s="1" t="n">
        <f aca="false">'1. Elec Ref Grid'!B138</f>
        <v>0</v>
      </c>
    </row>
    <row r="139" customFormat="false" ht="13.8" hidden="false" customHeight="false" outlineLevel="0" collapsed="false">
      <c r="A139" s="1" t="str">
        <f aca="false">LEFT('1. Elec Ref Grid'!A139,FIND("-",'1. Elec Ref Grid'!A139)-1)</f>
        <v>HU00</v>
      </c>
      <c r="B139" s="1" t="str">
        <f aca="false">RIGHT('1. Elec Ref Grid'!A139,LEN('1. Elec Ref Grid'!A139)-FIND("-",'1. Elec Ref Grid'!A139))</f>
        <v>UA00</v>
      </c>
      <c r="C139" s="1" t="s">
        <v>547</v>
      </c>
      <c r="D139" s="1" t="s">
        <v>548</v>
      </c>
      <c r="E139" s="1" t="n">
        <f aca="false">'1. Elec Ref Grid'!B139</f>
        <v>1000</v>
      </c>
    </row>
    <row r="140" customFormat="false" ht="13.8" hidden="false" customHeight="false" outlineLevel="0" collapsed="false">
      <c r="A140" s="1" t="str">
        <f aca="false">LEFT('1. Elec Ref Grid'!A140,FIND("-",'1. Elec Ref Grid'!A140)-1)</f>
        <v>PL00</v>
      </c>
      <c r="B140" s="1" t="str">
        <f aca="false">RIGHT('1. Elec Ref Grid'!A140,LEN('1. Elec Ref Grid'!A140)-FIND("-",'1. Elec Ref Grid'!A140))</f>
        <v>UA00</v>
      </c>
      <c r="C140" s="1" t="s">
        <v>547</v>
      </c>
      <c r="D140" s="1" t="s">
        <v>548</v>
      </c>
      <c r="E140" s="1" t="n">
        <f aca="false">'1. Elec Ref Grid'!B140</f>
        <v>500</v>
      </c>
    </row>
    <row r="141" customFormat="false" ht="13.8" hidden="false" customHeight="false" outlineLevel="0" collapsed="false">
      <c r="A141" s="1" t="str">
        <f aca="false">LEFT('1. Elec Ref Grid'!A141,FIND("-",'1. Elec Ref Grid'!A141)-1)</f>
        <v>RO00</v>
      </c>
      <c r="B141" s="1" t="str">
        <f aca="false">RIGHT('1. Elec Ref Grid'!A141,LEN('1. Elec Ref Grid'!A141)-FIND("-",'1. Elec Ref Grid'!A141))</f>
        <v>UA00</v>
      </c>
      <c r="C141" s="1" t="s">
        <v>547</v>
      </c>
      <c r="D141" s="1" t="s">
        <v>548</v>
      </c>
      <c r="E141" s="1" t="n">
        <f aca="false">'1. Elec Ref Grid'!B141</f>
        <v>800</v>
      </c>
    </row>
    <row r="142" customFormat="false" ht="13.8" hidden="false" customHeight="false" outlineLevel="0" collapsed="false">
      <c r="A142" s="1" t="str">
        <f aca="false">LEFT('1. Elec Ref Grid'!A142,FIND("-",'1. Elec Ref Grid'!A142)-1)</f>
        <v>SK00</v>
      </c>
      <c r="B142" s="1" t="str">
        <f aca="false">RIGHT('1. Elec Ref Grid'!A142,LEN('1. Elec Ref Grid'!A142)-FIND("-",'1. Elec Ref Grid'!A142))</f>
        <v>UA00</v>
      </c>
      <c r="C142" s="1" t="s">
        <v>547</v>
      </c>
      <c r="D142" s="1" t="s">
        <v>548</v>
      </c>
      <c r="E142" s="1" t="n">
        <f aca="false">'1. Elec Ref Grid'!B142</f>
        <v>400</v>
      </c>
    </row>
    <row r="143" customFormat="false" ht="13.8" hidden="false" customHeight="false" outlineLevel="0" collapsed="false">
      <c r="A143" s="1" t="str">
        <f aca="false">LEFT('1. Elec Ref Grid'!A143,FIND("-",'1. Elec Ref Grid'!A143)-1)</f>
        <v>MD00</v>
      </c>
      <c r="B143" s="1" t="str">
        <f aca="false">RIGHT('1. Elec Ref Grid'!A143,LEN('1. Elec Ref Grid'!A143)-FIND("-",'1. Elec Ref Grid'!A143))</f>
        <v>UA00</v>
      </c>
      <c r="C143" s="1" t="s">
        <v>547</v>
      </c>
      <c r="D143" s="1" t="s">
        <v>548</v>
      </c>
      <c r="E143" s="1" t="n">
        <f aca="false">'1. Elec Ref Grid'!B143</f>
        <v>600</v>
      </c>
    </row>
    <row r="144" customFormat="false" ht="13.8" hidden="false" customHeight="false" outlineLevel="0" collapsed="false">
      <c r="A144" s="16" t="str">
        <f aca="false">RIGHT('1. Elec Ref Grid'!A2,LEN('1. Elec Ref Grid'!A2)-FIND("-",'1. Elec Ref Grid'!A2))</f>
        <v>GR00</v>
      </c>
      <c r="B144" s="12" t="str">
        <f aca="false">LEFT('1. Elec Ref Grid'!A2,FIND("-",'1. Elec Ref Grid'!A2)-1)</f>
        <v>AL00</v>
      </c>
      <c r="C144" s="1" t="s">
        <v>547</v>
      </c>
      <c r="D144" s="1" t="s">
        <v>548</v>
      </c>
      <c r="E144" s="1" t="n">
        <f aca="false">'1. Elec Ref Grid'!B3</f>
        <v>400</v>
      </c>
    </row>
    <row r="145" customFormat="false" ht="13.8" hidden="false" customHeight="false" outlineLevel="0" collapsed="false">
      <c r="A145" s="16" t="str">
        <f aca="false">RIGHT('1. Elec Ref Grid'!A3,LEN('1. Elec Ref Grid'!A3)-FIND("-",'1. Elec Ref Grid'!A3))</f>
        <v>ME00</v>
      </c>
      <c r="B145" s="12" t="str">
        <f aca="false">LEFT('1. Elec Ref Grid'!A3,FIND("-",'1. Elec Ref Grid'!A3)-1)</f>
        <v>AL00</v>
      </c>
      <c r="C145" s="1" t="s">
        <v>547</v>
      </c>
      <c r="D145" s="1" t="s">
        <v>548</v>
      </c>
      <c r="E145" s="1" t="n">
        <f aca="false">'1. Elec Ref Grid'!B4</f>
        <v>500</v>
      </c>
    </row>
    <row r="146" customFormat="false" ht="13.8" hidden="false" customHeight="false" outlineLevel="0" collapsed="false">
      <c r="A146" s="16" t="str">
        <f aca="false">RIGHT('1. Elec Ref Grid'!A4,LEN('1. Elec Ref Grid'!A4)-FIND("-",'1. Elec Ref Grid'!A4))</f>
        <v>MK00</v>
      </c>
      <c r="B146" s="12" t="str">
        <f aca="false">LEFT('1. Elec Ref Grid'!A4,FIND("-",'1. Elec Ref Grid'!A4)-1)</f>
        <v>AL00</v>
      </c>
      <c r="C146" s="1" t="s">
        <v>547</v>
      </c>
      <c r="D146" s="1" t="s">
        <v>548</v>
      </c>
      <c r="E146" s="1" t="n">
        <f aca="false">'1. Elec Ref Grid'!B5</f>
        <v>250</v>
      </c>
    </row>
    <row r="147" customFormat="false" ht="13.8" hidden="false" customHeight="false" outlineLevel="0" collapsed="false">
      <c r="A147" s="16" t="str">
        <f aca="false">RIGHT('1. Elec Ref Grid'!A5,LEN('1. Elec Ref Grid'!A5)-FIND("-",'1. Elec Ref Grid'!A5))</f>
        <v>RS00</v>
      </c>
      <c r="B147" s="12" t="str">
        <f aca="false">LEFT('1. Elec Ref Grid'!A5,FIND("-",'1. Elec Ref Grid'!A5)-1)</f>
        <v>AL00</v>
      </c>
      <c r="C147" s="1" t="s">
        <v>547</v>
      </c>
      <c r="D147" s="1" t="s">
        <v>548</v>
      </c>
      <c r="E147" s="1" t="n">
        <f aca="false">'1. Elec Ref Grid'!B6</f>
        <v>1200</v>
      </c>
    </row>
    <row r="148" customFormat="false" ht="13.8" hidden="false" customHeight="false" outlineLevel="0" collapsed="false">
      <c r="A148" s="16" t="str">
        <f aca="false">RIGHT('1. Elec Ref Grid'!A6,LEN('1. Elec Ref Grid'!A6)-FIND("-",'1. Elec Ref Grid'!A6))</f>
        <v>CH00</v>
      </c>
      <c r="B148" s="12" t="str">
        <f aca="false">LEFT('1. Elec Ref Grid'!A6,FIND("-",'1. Elec Ref Grid'!A6)-1)</f>
        <v>AT00</v>
      </c>
      <c r="C148" s="1" t="s">
        <v>547</v>
      </c>
      <c r="D148" s="1" t="s">
        <v>548</v>
      </c>
      <c r="E148" s="1" t="n">
        <f aca="false">'1. Elec Ref Grid'!B7</f>
        <v>900</v>
      </c>
    </row>
    <row r="149" customFormat="false" ht="13.8" hidden="false" customHeight="false" outlineLevel="0" collapsed="false">
      <c r="A149" s="16" t="str">
        <f aca="false">RIGHT('1. Elec Ref Grid'!A7,LEN('1. Elec Ref Grid'!A7)-FIND("-",'1. Elec Ref Grid'!A7))</f>
        <v>CZ00</v>
      </c>
      <c r="B149" s="12" t="str">
        <f aca="false">LEFT('1. Elec Ref Grid'!A7,FIND("-",'1. Elec Ref Grid'!A7)-1)</f>
        <v>AT00</v>
      </c>
      <c r="C149" s="1" t="s">
        <v>547</v>
      </c>
      <c r="D149" s="1" t="s">
        <v>548</v>
      </c>
      <c r="E149" s="1" t="n">
        <f aca="false">'1. Elec Ref Grid'!B8</f>
        <v>7500</v>
      </c>
    </row>
    <row r="150" customFormat="false" ht="13.8" hidden="false" customHeight="false" outlineLevel="0" collapsed="false">
      <c r="A150" s="16" t="str">
        <f aca="false">RIGHT('1. Elec Ref Grid'!A8,LEN('1. Elec Ref Grid'!A8)-FIND("-",'1. Elec Ref Grid'!A8))</f>
        <v>DE00</v>
      </c>
      <c r="B150" s="12" t="str">
        <f aca="false">LEFT('1. Elec Ref Grid'!A8,FIND("-",'1. Elec Ref Grid'!A8)-1)</f>
        <v>AT00</v>
      </c>
      <c r="C150" s="1" t="s">
        <v>547</v>
      </c>
      <c r="D150" s="1" t="s">
        <v>548</v>
      </c>
      <c r="E150" s="1" t="n">
        <f aca="false">'1. Elec Ref Grid'!B9</f>
        <v>800</v>
      </c>
    </row>
    <row r="151" customFormat="false" ht="13.8" hidden="false" customHeight="false" outlineLevel="0" collapsed="false">
      <c r="A151" s="16" t="str">
        <f aca="false">RIGHT('1. Elec Ref Grid'!A9,LEN('1. Elec Ref Grid'!A9)-FIND("-",'1. Elec Ref Grid'!A9))</f>
        <v>HU00</v>
      </c>
      <c r="B151" s="12" t="str">
        <f aca="false">LEFT('1. Elec Ref Grid'!A9,FIND("-",'1. Elec Ref Grid'!A9)-1)</f>
        <v>AT00</v>
      </c>
      <c r="C151" s="1" t="s">
        <v>547</v>
      </c>
      <c r="D151" s="1" t="s">
        <v>548</v>
      </c>
      <c r="E151" s="1" t="n">
        <f aca="false">'1. Elec Ref Grid'!B10</f>
        <v>875</v>
      </c>
    </row>
    <row r="152" customFormat="false" ht="13.8" hidden="false" customHeight="false" outlineLevel="0" collapsed="false">
      <c r="A152" s="16" t="str">
        <f aca="false">RIGHT('1. Elec Ref Grid'!A10,LEN('1. Elec Ref Grid'!A10)-FIND("-",'1. Elec Ref Grid'!A10))</f>
        <v>ITN1</v>
      </c>
      <c r="B152" s="12" t="str">
        <f aca="false">LEFT('1. Elec Ref Grid'!A10,FIND("-",'1. Elec Ref Grid'!A10)-1)</f>
        <v>AT00</v>
      </c>
      <c r="C152" s="1" t="s">
        <v>547</v>
      </c>
      <c r="D152" s="1" t="s">
        <v>548</v>
      </c>
      <c r="E152" s="1" t="n">
        <f aca="false">'1. Elec Ref Grid'!B11</f>
        <v>950</v>
      </c>
    </row>
    <row r="153" customFormat="false" ht="13.8" hidden="false" customHeight="false" outlineLevel="0" collapsed="false">
      <c r="A153" s="16" t="str">
        <f aca="false">RIGHT('1. Elec Ref Grid'!A11,LEN('1. Elec Ref Grid'!A11)-FIND("-",'1. Elec Ref Grid'!A11))</f>
        <v>SI00</v>
      </c>
      <c r="B153" s="12" t="str">
        <f aca="false">LEFT('1. Elec Ref Grid'!A11,FIND("-",'1. Elec Ref Grid'!A11)-1)</f>
        <v>AT00</v>
      </c>
      <c r="C153" s="1" t="s">
        <v>547</v>
      </c>
      <c r="D153" s="1" t="s">
        <v>548</v>
      </c>
      <c r="E153" s="1" t="n">
        <f aca="false">'1. Elec Ref Grid'!B12</f>
        <v>0</v>
      </c>
    </row>
    <row r="154" customFormat="false" ht="13.8" hidden="false" customHeight="false" outlineLevel="0" collapsed="false">
      <c r="A154" s="16" t="str">
        <f aca="false">RIGHT('1. Elec Ref Grid'!A12,LEN('1. Elec Ref Grid'!A12)-FIND("-",'1. Elec Ref Grid'!A12))</f>
        <v>SK00</v>
      </c>
      <c r="B154" s="12" t="str">
        <f aca="false">LEFT('1. Elec Ref Grid'!A12,FIND("-",'1. Elec Ref Grid'!A12)-1)</f>
        <v>AT00</v>
      </c>
      <c r="C154" s="1" t="s">
        <v>547</v>
      </c>
      <c r="D154" s="1" t="s">
        <v>548</v>
      </c>
      <c r="E154" s="1" t="n">
        <f aca="false">'1. Elec Ref Grid'!B13</f>
        <v>900</v>
      </c>
    </row>
    <row r="155" customFormat="false" ht="13.8" hidden="false" customHeight="false" outlineLevel="0" collapsed="false">
      <c r="A155" s="16" t="str">
        <f aca="false">RIGHT('1. Elec Ref Grid'!A13,LEN('1. Elec Ref Grid'!A13)-FIND("-",'1. Elec Ref Grid'!A13))</f>
        <v>HR00</v>
      </c>
      <c r="B155" s="12" t="str">
        <f aca="false">LEFT('1. Elec Ref Grid'!A13,FIND("-",'1. Elec Ref Grid'!A13)-1)</f>
        <v>BA00</v>
      </c>
      <c r="C155" s="1" t="s">
        <v>547</v>
      </c>
      <c r="D155" s="1" t="s">
        <v>548</v>
      </c>
      <c r="E155" s="1" t="n">
        <f aca="false">'1. Elec Ref Grid'!B14</f>
        <v>500</v>
      </c>
    </row>
    <row r="156" customFormat="false" ht="13.8" hidden="false" customHeight="false" outlineLevel="0" collapsed="false">
      <c r="A156" s="16" t="str">
        <f aca="false">RIGHT('1. Elec Ref Grid'!A14,LEN('1. Elec Ref Grid'!A14)-FIND("-",'1. Elec Ref Grid'!A14))</f>
        <v>ME00</v>
      </c>
      <c r="B156" s="12" t="str">
        <f aca="false">LEFT('1. Elec Ref Grid'!A14,FIND("-",'1. Elec Ref Grid'!A14)-1)</f>
        <v>BA00</v>
      </c>
      <c r="C156" s="1" t="s">
        <v>547</v>
      </c>
      <c r="D156" s="1" t="s">
        <v>548</v>
      </c>
      <c r="E156" s="1" t="n">
        <f aca="false">'1. Elec Ref Grid'!B15</f>
        <v>1640</v>
      </c>
    </row>
    <row r="157" customFormat="false" ht="13.8" hidden="false" customHeight="false" outlineLevel="0" collapsed="false">
      <c r="A157" s="16" t="str">
        <f aca="false">RIGHT('1. Elec Ref Grid'!A15,LEN('1. Elec Ref Grid'!A15)-FIND("-",'1. Elec Ref Grid'!A15))</f>
        <v>RS00</v>
      </c>
      <c r="B157" s="12" t="str">
        <f aca="false">LEFT('1. Elec Ref Grid'!A15,FIND("-",'1. Elec Ref Grid'!A15)-1)</f>
        <v>BA00</v>
      </c>
      <c r="C157" s="1" t="s">
        <v>547</v>
      </c>
      <c r="D157" s="1" t="s">
        <v>548</v>
      </c>
      <c r="E157" s="1" t="n">
        <f aca="false">'1. Elec Ref Grid'!B16</f>
        <v>1000</v>
      </c>
    </row>
    <row r="158" customFormat="false" ht="13.8" hidden="false" customHeight="false" outlineLevel="0" collapsed="false">
      <c r="A158" s="16" t="str">
        <f aca="false">RIGHT('1. Elec Ref Grid'!A16,LEN('1. Elec Ref Grid'!A16)-FIND("-",'1. Elec Ref Grid'!A16))</f>
        <v>DE00</v>
      </c>
      <c r="B158" s="12" t="str">
        <f aca="false">LEFT('1. Elec Ref Grid'!A16,FIND("-",'1. Elec Ref Grid'!A16)-1)</f>
        <v>BE00</v>
      </c>
      <c r="C158" s="1" t="s">
        <v>547</v>
      </c>
      <c r="D158" s="1" t="s">
        <v>548</v>
      </c>
      <c r="E158" s="1" t="n">
        <f aca="false">'1. Elec Ref Grid'!B17</f>
        <v>2800</v>
      </c>
    </row>
    <row r="159" customFormat="false" ht="13.8" hidden="false" customHeight="false" outlineLevel="0" collapsed="false">
      <c r="A159" s="16" t="str">
        <f aca="false">RIGHT('1. Elec Ref Grid'!A17,LEN('1. Elec Ref Grid'!A17)-FIND("-",'1. Elec Ref Grid'!A17))</f>
        <v>FR00</v>
      </c>
      <c r="B159" s="12" t="str">
        <f aca="false">LEFT('1. Elec Ref Grid'!A17,FIND("-",'1. Elec Ref Grid'!A17)-1)</f>
        <v>BE00</v>
      </c>
      <c r="C159" s="1" t="s">
        <v>547</v>
      </c>
      <c r="D159" s="1" t="s">
        <v>548</v>
      </c>
      <c r="E159" s="1" t="n">
        <f aca="false">'1. Elec Ref Grid'!B18</f>
        <v>380</v>
      </c>
    </row>
    <row r="160" customFormat="false" ht="13.8" hidden="false" customHeight="false" outlineLevel="0" collapsed="false">
      <c r="A160" s="16" t="str">
        <f aca="false">RIGHT('1. Elec Ref Grid'!A18,LEN('1. Elec Ref Grid'!A18)-FIND("-",'1. Elec Ref Grid'!A18))</f>
        <v>LUB1</v>
      </c>
      <c r="B160" s="12" t="str">
        <f aca="false">LEFT('1. Elec Ref Grid'!A18,FIND("-",'1. Elec Ref Grid'!A18)-1)</f>
        <v>BE00</v>
      </c>
      <c r="C160" s="1" t="s">
        <v>547</v>
      </c>
      <c r="D160" s="1" t="s">
        <v>548</v>
      </c>
      <c r="E160" s="1" t="n">
        <f aca="false">'1. Elec Ref Grid'!B19</f>
        <v>300</v>
      </c>
    </row>
    <row r="161" customFormat="false" ht="13.8" hidden="false" customHeight="false" outlineLevel="0" collapsed="false">
      <c r="A161" s="16" t="str">
        <f aca="false">RIGHT('1. Elec Ref Grid'!A19,LEN('1. Elec Ref Grid'!A19)-FIND("-",'1. Elec Ref Grid'!A19))</f>
        <v>LUG1</v>
      </c>
      <c r="B161" s="12" t="str">
        <f aca="false">LEFT('1. Elec Ref Grid'!A19,FIND("-",'1. Elec Ref Grid'!A19)-1)</f>
        <v>BE00</v>
      </c>
      <c r="C161" s="1" t="s">
        <v>547</v>
      </c>
      <c r="D161" s="1" t="s">
        <v>548</v>
      </c>
      <c r="E161" s="1" t="n">
        <f aca="false">'1. Elec Ref Grid'!B20</f>
        <v>3400</v>
      </c>
    </row>
    <row r="162" customFormat="false" ht="13.8" hidden="false" customHeight="false" outlineLevel="0" collapsed="false">
      <c r="A162" s="16" t="str">
        <f aca="false">RIGHT('1. Elec Ref Grid'!A20,LEN('1. Elec Ref Grid'!A20)-FIND("-",'1. Elec Ref Grid'!A20))</f>
        <v>NL00</v>
      </c>
      <c r="B162" s="12" t="str">
        <f aca="false">LEFT('1. Elec Ref Grid'!A20,FIND("-",'1. Elec Ref Grid'!A20)-1)</f>
        <v>BE00</v>
      </c>
      <c r="C162" s="1" t="s">
        <v>547</v>
      </c>
      <c r="D162" s="1" t="s">
        <v>548</v>
      </c>
      <c r="E162" s="1" t="n">
        <f aca="false">'1. Elec Ref Grid'!B21</f>
        <v>1000</v>
      </c>
    </row>
    <row r="163" customFormat="false" ht="13.8" hidden="false" customHeight="false" outlineLevel="0" collapsed="false">
      <c r="A163" s="16" t="str">
        <f aca="false">RIGHT('1. Elec Ref Grid'!A21,LEN('1. Elec Ref Grid'!A21)-FIND("-",'1. Elec Ref Grid'!A21))</f>
        <v>UK00</v>
      </c>
      <c r="B163" s="12" t="str">
        <f aca="false">LEFT('1. Elec Ref Grid'!A21,FIND("-",'1. Elec Ref Grid'!A21)-1)</f>
        <v>BE00</v>
      </c>
      <c r="C163" s="1" t="s">
        <v>547</v>
      </c>
      <c r="D163" s="1" t="s">
        <v>548</v>
      </c>
      <c r="E163" s="1" t="n">
        <f aca="false">'1. Elec Ref Grid'!B22</f>
        <v>1700</v>
      </c>
    </row>
    <row r="164" customFormat="false" ht="13.8" hidden="false" customHeight="false" outlineLevel="0" collapsed="false">
      <c r="A164" s="16" t="str">
        <f aca="false">RIGHT('1. Elec Ref Grid'!A22,LEN('1. Elec Ref Grid'!A22)-FIND("-",'1. Elec Ref Grid'!A22))</f>
        <v>GR00</v>
      </c>
      <c r="B164" s="12" t="str">
        <f aca="false">LEFT('1. Elec Ref Grid'!A22,FIND("-",'1. Elec Ref Grid'!A22)-1)</f>
        <v>BG00</v>
      </c>
      <c r="C164" s="1" t="s">
        <v>547</v>
      </c>
      <c r="D164" s="1" t="s">
        <v>548</v>
      </c>
      <c r="E164" s="1" t="n">
        <f aca="false">'1. Elec Ref Grid'!B23</f>
        <v>400</v>
      </c>
    </row>
    <row r="165" customFormat="false" ht="13.8" hidden="false" customHeight="false" outlineLevel="0" collapsed="false">
      <c r="A165" s="16" t="str">
        <f aca="false">RIGHT('1. Elec Ref Grid'!A23,LEN('1. Elec Ref Grid'!A23)-FIND("-",'1. Elec Ref Grid'!A23))</f>
        <v>MK00</v>
      </c>
      <c r="B165" s="12" t="str">
        <f aca="false">LEFT('1. Elec Ref Grid'!A23,FIND("-",'1. Elec Ref Grid'!A23)-1)</f>
        <v>BG00</v>
      </c>
      <c r="C165" s="1" t="s">
        <v>547</v>
      </c>
      <c r="D165" s="1" t="s">
        <v>548</v>
      </c>
      <c r="E165" s="1" t="n">
        <f aca="false">'1. Elec Ref Grid'!B24</f>
        <v>2190</v>
      </c>
    </row>
    <row r="166" customFormat="false" ht="13.8" hidden="false" customHeight="false" outlineLevel="0" collapsed="false">
      <c r="A166" s="16" t="str">
        <f aca="false">RIGHT('1. Elec Ref Grid'!A24,LEN('1. Elec Ref Grid'!A24)-FIND("-",'1. Elec Ref Grid'!A24))</f>
        <v>RO00</v>
      </c>
      <c r="B166" s="12" t="str">
        <f aca="false">LEFT('1. Elec Ref Grid'!A24,FIND("-",'1. Elec Ref Grid'!A24)-1)</f>
        <v>BG00</v>
      </c>
      <c r="C166" s="1" t="s">
        <v>547</v>
      </c>
      <c r="D166" s="1" t="s">
        <v>548</v>
      </c>
      <c r="E166" s="1" t="n">
        <f aca="false">'1. Elec Ref Grid'!B25</f>
        <v>380</v>
      </c>
    </row>
    <row r="167" customFormat="false" ht="13.8" hidden="false" customHeight="false" outlineLevel="0" collapsed="false">
      <c r="A167" s="16" t="str">
        <f aca="false">RIGHT('1. Elec Ref Grid'!A25,LEN('1. Elec Ref Grid'!A25)-FIND("-",'1. Elec Ref Grid'!A25))</f>
        <v>RS00</v>
      </c>
      <c r="B167" s="12" t="str">
        <f aca="false">LEFT('1. Elec Ref Grid'!A25,FIND("-",'1. Elec Ref Grid'!A25)-1)</f>
        <v>BG00</v>
      </c>
      <c r="C167" s="1" t="s">
        <v>547</v>
      </c>
      <c r="D167" s="1" t="s">
        <v>548</v>
      </c>
      <c r="E167" s="1" t="n">
        <f aca="false">'1. Elec Ref Grid'!B26</f>
        <v>900</v>
      </c>
    </row>
    <row r="168" customFormat="false" ht="13.8" hidden="false" customHeight="false" outlineLevel="0" collapsed="false">
      <c r="A168" s="16" t="str">
        <f aca="false">RIGHT('1. Elec Ref Grid'!A26,LEN('1. Elec Ref Grid'!A26)-FIND("-",'1. Elec Ref Grid'!A26))</f>
        <v>TR00</v>
      </c>
      <c r="B168" s="12" t="str">
        <f aca="false">LEFT('1. Elec Ref Grid'!A26,FIND("-",'1. Elec Ref Grid'!A26)-1)</f>
        <v>BG00</v>
      </c>
      <c r="C168" s="1" t="s">
        <v>547</v>
      </c>
      <c r="D168" s="1" t="s">
        <v>548</v>
      </c>
      <c r="E168" s="1" t="n">
        <f aca="false">'1. Elec Ref Grid'!B27</f>
        <v>4200</v>
      </c>
    </row>
    <row r="169" customFormat="false" ht="13.8" hidden="false" customHeight="false" outlineLevel="0" collapsed="false">
      <c r="A169" s="16" t="str">
        <f aca="false">RIGHT('1. Elec Ref Grid'!A27,LEN('1. Elec Ref Grid'!A27)-FIND("-",'1. Elec Ref Grid'!A27))</f>
        <v>DE00</v>
      </c>
      <c r="B169" s="12" t="str">
        <f aca="false">LEFT('1. Elec Ref Grid'!A27,FIND("-",'1. Elec Ref Grid'!A27)-1)</f>
        <v>CH00</v>
      </c>
      <c r="C169" s="1" t="s">
        <v>547</v>
      </c>
      <c r="D169" s="1" t="s">
        <v>548</v>
      </c>
      <c r="E169" s="1" t="n">
        <f aca="false">'1. Elec Ref Grid'!B28</f>
        <v>2200</v>
      </c>
    </row>
    <row r="170" customFormat="false" ht="13.8" hidden="false" customHeight="false" outlineLevel="0" collapsed="false">
      <c r="A170" s="16" t="str">
        <f aca="false">RIGHT('1. Elec Ref Grid'!A28,LEN('1. Elec Ref Grid'!A28)-FIND("-",'1. Elec Ref Grid'!A28))</f>
        <v>FR00</v>
      </c>
      <c r="B170" s="12" t="str">
        <f aca="false">LEFT('1. Elec Ref Grid'!A28,FIND("-",'1. Elec Ref Grid'!A28)-1)</f>
        <v>CH00</v>
      </c>
      <c r="C170" s="1" t="s">
        <v>547</v>
      </c>
      <c r="D170" s="1" t="s">
        <v>548</v>
      </c>
      <c r="E170" s="1" t="n">
        <f aca="false">'1. Elec Ref Grid'!B29</f>
        <v>5772</v>
      </c>
    </row>
    <row r="171" customFormat="false" ht="13.8" hidden="false" customHeight="false" outlineLevel="0" collapsed="false">
      <c r="A171" s="16" t="str">
        <f aca="false">RIGHT('1. Elec Ref Grid'!A29,LEN('1. Elec Ref Grid'!A29)-FIND("-",'1. Elec Ref Grid'!A29))</f>
        <v>ITN1</v>
      </c>
      <c r="B171" s="12" t="str">
        <f aca="false">LEFT('1. Elec Ref Grid'!A29,FIND("-",'1. Elec Ref Grid'!A29)-1)</f>
        <v>CH00</v>
      </c>
      <c r="C171" s="1" t="s">
        <v>547</v>
      </c>
      <c r="D171" s="1" t="s">
        <v>548</v>
      </c>
      <c r="E171" s="1" t="n">
        <f aca="false">'1. Elec Ref Grid'!B30</f>
        <v>0</v>
      </c>
    </row>
    <row r="172" customFormat="false" ht="13.8" hidden="false" customHeight="false" outlineLevel="0" collapsed="false">
      <c r="A172" s="16" t="str">
        <f aca="false">RIGHT('1. Elec Ref Grid'!A30,LEN('1. Elec Ref Grid'!A30)-FIND("-",'1. Elec Ref Grid'!A30))</f>
        <v>EG00</v>
      </c>
      <c r="B172" s="12" t="str">
        <f aca="false">LEFT('1. Elec Ref Grid'!A30,FIND("-",'1. Elec Ref Grid'!A30)-1)</f>
        <v>CY00</v>
      </c>
      <c r="C172" s="1" t="s">
        <v>547</v>
      </c>
      <c r="D172" s="1" t="s">
        <v>548</v>
      </c>
      <c r="E172" s="1" t="n">
        <f aca="false">'1. Elec Ref Grid'!B31</f>
        <v>1000</v>
      </c>
    </row>
    <row r="173" customFormat="false" ht="13.8" hidden="false" customHeight="false" outlineLevel="0" collapsed="false">
      <c r="A173" s="16" t="str">
        <f aca="false">RIGHT('1. Elec Ref Grid'!A31,LEN('1. Elec Ref Grid'!A31)-FIND("-",'1. Elec Ref Grid'!A31))</f>
        <v>GR03</v>
      </c>
      <c r="B173" s="12" t="str">
        <f aca="false">LEFT('1. Elec Ref Grid'!A31,FIND("-",'1. Elec Ref Grid'!A31)-1)</f>
        <v>CY00</v>
      </c>
      <c r="C173" s="1" t="s">
        <v>547</v>
      </c>
      <c r="D173" s="1" t="s">
        <v>548</v>
      </c>
      <c r="E173" s="1" t="n">
        <f aca="false">'1. Elec Ref Grid'!B32</f>
        <v>1000</v>
      </c>
    </row>
    <row r="174" customFormat="false" ht="13.8" hidden="false" customHeight="false" outlineLevel="0" collapsed="false">
      <c r="A174" s="16" t="str">
        <f aca="false">RIGHT('1. Elec Ref Grid'!A32,LEN('1. Elec Ref Grid'!A32)-FIND("-",'1. Elec Ref Grid'!A32))</f>
        <v>IL00</v>
      </c>
      <c r="B174" s="12" t="str">
        <f aca="false">LEFT('1. Elec Ref Grid'!A32,FIND("-",'1. Elec Ref Grid'!A32)-1)</f>
        <v>CY00</v>
      </c>
      <c r="C174" s="1" t="s">
        <v>547</v>
      </c>
      <c r="D174" s="1" t="s">
        <v>548</v>
      </c>
      <c r="E174" s="1" t="n">
        <f aca="false">'1. Elec Ref Grid'!B33</f>
        <v>2600</v>
      </c>
    </row>
    <row r="175" customFormat="false" ht="13.8" hidden="false" customHeight="false" outlineLevel="0" collapsed="false">
      <c r="A175" s="16" t="str">
        <f aca="false">RIGHT('1. Elec Ref Grid'!A33,LEN('1. Elec Ref Grid'!A33)-FIND("-",'1. Elec Ref Grid'!A33))</f>
        <v>DE00</v>
      </c>
      <c r="B175" s="12" t="str">
        <f aca="false">LEFT('1. Elec Ref Grid'!A33,FIND("-",'1. Elec Ref Grid'!A33)-1)</f>
        <v>CZ00</v>
      </c>
      <c r="C175" s="1" t="s">
        <v>547</v>
      </c>
      <c r="D175" s="1" t="s">
        <v>548</v>
      </c>
      <c r="E175" s="1" t="n">
        <f aca="false">'1. Elec Ref Grid'!B34</f>
        <v>600</v>
      </c>
    </row>
    <row r="176" customFormat="false" ht="13.8" hidden="false" customHeight="false" outlineLevel="0" collapsed="false">
      <c r="A176" s="16" t="str">
        <f aca="false">RIGHT('1. Elec Ref Grid'!A34,LEN('1. Elec Ref Grid'!A34)-FIND("-",'1. Elec Ref Grid'!A34))</f>
        <v>PL00I</v>
      </c>
      <c r="B176" s="12" t="str">
        <f aca="false">LEFT('1. Elec Ref Grid'!A34,FIND("-",'1. Elec Ref Grid'!A34)-1)</f>
        <v>CZ00</v>
      </c>
      <c r="C176" s="1" t="s">
        <v>547</v>
      </c>
      <c r="D176" s="1" t="s">
        <v>548</v>
      </c>
      <c r="E176" s="1" t="n">
        <f aca="false">'1. Elec Ref Grid'!B35</f>
        <v>1800</v>
      </c>
    </row>
    <row r="177" customFormat="false" ht="13.8" hidden="false" customHeight="false" outlineLevel="0" collapsed="false">
      <c r="A177" s="16" t="str">
        <f aca="false">RIGHT('1. Elec Ref Grid'!A35,LEN('1. Elec Ref Grid'!A35)-FIND("-",'1. Elec Ref Grid'!A35))</f>
        <v>SK00</v>
      </c>
      <c r="B177" s="12" t="str">
        <f aca="false">LEFT('1. Elec Ref Grid'!A35,FIND("-",'1. Elec Ref Grid'!A35)-1)</f>
        <v>CZ00</v>
      </c>
      <c r="C177" s="1" t="s">
        <v>547</v>
      </c>
      <c r="D177" s="1" t="s">
        <v>548</v>
      </c>
      <c r="E177" s="1" t="n">
        <f aca="false">'1. Elec Ref Grid'!B36</f>
        <v>400</v>
      </c>
    </row>
    <row r="178" customFormat="false" ht="13.8" hidden="false" customHeight="false" outlineLevel="0" collapsed="false">
      <c r="A178" s="16" t="str">
        <f aca="false">RIGHT('1. Elec Ref Grid'!A36,LEN('1. Elec Ref Grid'!A36)-FIND("-",'1. Elec Ref Grid'!A36))</f>
        <v>DEKF</v>
      </c>
      <c r="B178" s="12" t="str">
        <f aca="false">LEFT('1. Elec Ref Grid'!A36,FIND("-",'1. Elec Ref Grid'!A36)-1)</f>
        <v>DE00</v>
      </c>
      <c r="C178" s="1" t="s">
        <v>547</v>
      </c>
      <c r="D178" s="1" t="s">
        <v>548</v>
      </c>
      <c r="E178" s="1" t="n">
        <f aca="false">'1. Elec Ref Grid'!B37</f>
        <v>600</v>
      </c>
    </row>
    <row r="179" customFormat="false" ht="13.8" hidden="false" customHeight="false" outlineLevel="0" collapsed="false">
      <c r="A179" s="16" t="str">
        <f aca="false">RIGHT('1. Elec Ref Grid'!A37,LEN('1. Elec Ref Grid'!A37)-FIND("-",'1. Elec Ref Grid'!A37))</f>
        <v>DKE1</v>
      </c>
      <c r="B179" s="12" t="str">
        <f aca="false">LEFT('1. Elec Ref Grid'!A37,FIND("-",'1. Elec Ref Grid'!A37)-1)</f>
        <v>DE00</v>
      </c>
      <c r="C179" s="1" t="s">
        <v>547</v>
      </c>
      <c r="D179" s="1" t="s">
        <v>548</v>
      </c>
      <c r="E179" s="1" t="n">
        <f aca="false">'1. Elec Ref Grid'!B38</f>
        <v>3500</v>
      </c>
    </row>
    <row r="180" customFormat="false" ht="13.8" hidden="false" customHeight="false" outlineLevel="0" collapsed="false">
      <c r="A180" s="16" t="str">
        <f aca="false">RIGHT('1. Elec Ref Grid'!A38,LEN('1. Elec Ref Grid'!A38)-FIND("-",'1. Elec Ref Grid'!A38))</f>
        <v>DKW1</v>
      </c>
      <c r="B180" s="12" t="str">
        <f aca="false">LEFT('1. Elec Ref Grid'!A38,FIND("-",'1. Elec Ref Grid'!A38)-1)</f>
        <v>DE00</v>
      </c>
      <c r="C180" s="1" t="s">
        <v>547</v>
      </c>
      <c r="D180" s="1" t="s">
        <v>548</v>
      </c>
      <c r="E180" s="1" t="n">
        <f aca="false">'1. Elec Ref Grid'!B39</f>
        <v>4800</v>
      </c>
    </row>
    <row r="181" customFormat="false" ht="13.8" hidden="false" customHeight="false" outlineLevel="0" collapsed="false">
      <c r="A181" s="16" t="str">
        <f aca="false">RIGHT('1. Elec Ref Grid'!A39,LEN('1. Elec Ref Grid'!A39)-FIND("-",'1. Elec Ref Grid'!A39))</f>
        <v>FR00</v>
      </c>
      <c r="B181" s="12" t="str">
        <f aca="false">LEFT('1. Elec Ref Grid'!A39,FIND("-",'1. Elec Ref Grid'!A39)-1)</f>
        <v>DE00</v>
      </c>
      <c r="C181" s="1" t="s">
        <v>547</v>
      </c>
      <c r="D181" s="1" t="s">
        <v>548</v>
      </c>
      <c r="E181" s="1" t="n">
        <f aca="false">'1. Elec Ref Grid'!B40</f>
        <v>2400</v>
      </c>
    </row>
    <row r="182" customFormat="false" ht="13.8" hidden="false" customHeight="false" outlineLevel="0" collapsed="false">
      <c r="A182" s="16" t="str">
        <f aca="false">RIGHT('1. Elec Ref Grid'!A40,LEN('1. Elec Ref Grid'!A40)-FIND("-",'1. Elec Ref Grid'!A40))</f>
        <v>LUG1</v>
      </c>
      <c r="B182" s="12" t="str">
        <f aca="false">LEFT('1. Elec Ref Grid'!A40,FIND("-",'1. Elec Ref Grid'!A40)-1)</f>
        <v>DE00</v>
      </c>
      <c r="C182" s="1" t="s">
        <v>547</v>
      </c>
      <c r="D182" s="1" t="s">
        <v>548</v>
      </c>
      <c r="E182" s="1" t="n">
        <f aca="false">'1. Elec Ref Grid'!B41</f>
        <v>1300</v>
      </c>
    </row>
    <row r="183" customFormat="false" ht="13.8" hidden="false" customHeight="false" outlineLevel="0" collapsed="false">
      <c r="A183" s="16" t="str">
        <f aca="false">RIGHT('1. Elec Ref Grid'!A41,LEN('1. Elec Ref Grid'!A41)-FIND("-",'1. Elec Ref Grid'!A41))</f>
        <v>LUV1</v>
      </c>
      <c r="B183" s="12" t="str">
        <f aca="false">LEFT('1. Elec Ref Grid'!A41,FIND("-",'1. Elec Ref Grid'!A41)-1)</f>
        <v>DE00</v>
      </c>
      <c r="C183" s="1" t="s">
        <v>547</v>
      </c>
      <c r="D183" s="1" t="s">
        <v>548</v>
      </c>
      <c r="E183" s="1" t="n">
        <f aca="false">'1. Elec Ref Grid'!B42</f>
        <v>5000</v>
      </c>
    </row>
    <row r="184" customFormat="false" ht="13.8" hidden="false" customHeight="false" outlineLevel="0" collapsed="false">
      <c r="A184" s="16" t="str">
        <f aca="false">RIGHT('1. Elec Ref Grid'!A42,LEN('1. Elec Ref Grid'!A42)-FIND("-",'1. Elec Ref Grid'!A42))</f>
        <v>NL00</v>
      </c>
      <c r="B184" s="12" t="str">
        <f aca="false">LEFT('1. Elec Ref Grid'!A42,FIND("-",'1. Elec Ref Grid'!A42)-1)</f>
        <v>DE00</v>
      </c>
      <c r="C184" s="1" t="s">
        <v>547</v>
      </c>
      <c r="D184" s="1" t="s">
        <v>548</v>
      </c>
      <c r="E184" s="1" t="n">
        <f aca="false">'1. Elec Ref Grid'!B43</f>
        <v>1400</v>
      </c>
    </row>
    <row r="185" customFormat="false" ht="13.8" hidden="false" customHeight="false" outlineLevel="0" collapsed="false">
      <c r="A185" s="16" t="str">
        <f aca="false">RIGHT('1. Elec Ref Grid'!A43,LEN('1. Elec Ref Grid'!A43)-FIND("-",'1. Elec Ref Grid'!A43))</f>
        <v>NOS0</v>
      </c>
      <c r="B185" s="12" t="str">
        <f aca="false">LEFT('1. Elec Ref Grid'!A43,FIND("-",'1. Elec Ref Grid'!A43)-1)</f>
        <v>DE00</v>
      </c>
      <c r="C185" s="1" t="s">
        <v>547</v>
      </c>
      <c r="D185" s="1" t="s">
        <v>548</v>
      </c>
      <c r="E185" s="1" t="n">
        <f aca="false">'1. Elec Ref Grid'!B44</f>
        <v>2000</v>
      </c>
    </row>
    <row r="186" customFormat="false" ht="13.8" hidden="false" customHeight="false" outlineLevel="0" collapsed="false">
      <c r="A186" s="16" t="str">
        <f aca="false">RIGHT('1. Elec Ref Grid'!A44,LEN('1. Elec Ref Grid'!A44)-FIND("-",'1. Elec Ref Grid'!A44))</f>
        <v>PL00I</v>
      </c>
      <c r="B186" s="12" t="str">
        <f aca="false">LEFT('1. Elec Ref Grid'!A44,FIND("-",'1. Elec Ref Grid'!A44)-1)</f>
        <v>DE00</v>
      </c>
      <c r="C186" s="1" t="s">
        <v>547</v>
      </c>
      <c r="D186" s="1" t="s">
        <v>548</v>
      </c>
      <c r="E186" s="1" t="n">
        <f aca="false">'1. Elec Ref Grid'!B45</f>
        <v>1315</v>
      </c>
    </row>
    <row r="187" customFormat="false" ht="13.8" hidden="false" customHeight="false" outlineLevel="0" collapsed="false">
      <c r="A187" s="16" t="str">
        <f aca="false">RIGHT('1. Elec Ref Grid'!A45,LEN('1. Elec Ref Grid'!A45)-FIND("-",'1. Elec Ref Grid'!A45))</f>
        <v>SE04</v>
      </c>
      <c r="B187" s="12" t="str">
        <f aca="false">LEFT('1. Elec Ref Grid'!A45,FIND("-",'1. Elec Ref Grid'!A45)-1)</f>
        <v>DE00</v>
      </c>
      <c r="C187" s="1" t="s">
        <v>547</v>
      </c>
      <c r="D187" s="1" t="s">
        <v>548</v>
      </c>
      <c r="E187" s="1" t="n">
        <f aca="false">'1. Elec Ref Grid'!B46</f>
        <v>1400</v>
      </c>
    </row>
    <row r="188" customFormat="false" ht="13.8" hidden="false" customHeight="false" outlineLevel="0" collapsed="false">
      <c r="A188" s="16" t="str">
        <f aca="false">RIGHT('1. Elec Ref Grid'!A46,LEN('1. Elec Ref Grid'!A46)-FIND("-",'1. Elec Ref Grid'!A46))</f>
        <v>UK00</v>
      </c>
      <c r="B188" s="12" t="str">
        <f aca="false">LEFT('1. Elec Ref Grid'!A46,FIND("-",'1. Elec Ref Grid'!A46)-1)</f>
        <v>DE00</v>
      </c>
      <c r="C188" s="1" t="s">
        <v>547</v>
      </c>
      <c r="D188" s="1" t="s">
        <v>548</v>
      </c>
      <c r="E188" s="1" t="n">
        <f aca="false">'1. Elec Ref Grid'!B47</f>
        <v>400</v>
      </c>
    </row>
    <row r="189" customFormat="false" ht="13.8" hidden="false" customHeight="false" outlineLevel="0" collapsed="false">
      <c r="A189" s="16" t="str">
        <f aca="false">RIGHT('1. Elec Ref Grid'!A47,LEN('1. Elec Ref Grid'!A47)-FIND("-",'1. Elec Ref Grid'!A47))</f>
        <v>DKKF</v>
      </c>
      <c r="B189" s="12" t="str">
        <f aca="false">LEFT('1. Elec Ref Grid'!A47,FIND("-",'1. Elec Ref Grid'!A47)-1)</f>
        <v>DEKF</v>
      </c>
      <c r="C189" s="1" t="s">
        <v>547</v>
      </c>
      <c r="D189" s="1" t="s">
        <v>548</v>
      </c>
      <c r="E189" s="1" t="n">
        <f aca="false">'1. Elec Ref Grid'!B48</f>
        <v>600</v>
      </c>
    </row>
    <row r="190" customFormat="false" ht="13.8" hidden="false" customHeight="false" outlineLevel="0" collapsed="false">
      <c r="A190" s="16" t="str">
        <f aca="false">RIGHT('1. Elec Ref Grid'!A48,LEN('1. Elec Ref Grid'!A48)-FIND("-",'1. Elec Ref Grid'!A48))</f>
        <v>DKKF</v>
      </c>
      <c r="B190" s="12" t="str">
        <f aca="false">LEFT('1. Elec Ref Grid'!A48,FIND("-",'1. Elec Ref Grid'!A48)-1)</f>
        <v>DKE1</v>
      </c>
      <c r="C190" s="1" t="s">
        <v>547</v>
      </c>
      <c r="D190" s="1" t="s">
        <v>548</v>
      </c>
      <c r="E190" s="1" t="n">
        <f aca="false">'1. Elec Ref Grid'!B49</f>
        <v>600</v>
      </c>
    </row>
    <row r="191" customFormat="false" ht="13.8" hidden="false" customHeight="false" outlineLevel="0" collapsed="false">
      <c r="A191" s="16" t="str">
        <f aca="false">RIGHT('1. Elec Ref Grid'!A49,LEN('1. Elec Ref Grid'!A49)-FIND("-",'1. Elec Ref Grid'!A49))</f>
        <v>DKW1</v>
      </c>
      <c r="B191" s="12" t="str">
        <f aca="false">LEFT('1. Elec Ref Grid'!A49,FIND("-",'1. Elec Ref Grid'!A49)-1)</f>
        <v>DKE1</v>
      </c>
      <c r="C191" s="1" t="s">
        <v>547</v>
      </c>
      <c r="D191" s="1" t="s">
        <v>548</v>
      </c>
      <c r="E191" s="1" t="n">
        <f aca="false">'1. Elec Ref Grid'!B50</f>
        <v>0</v>
      </c>
    </row>
    <row r="192" customFormat="false" ht="13.8" hidden="false" customHeight="false" outlineLevel="0" collapsed="false">
      <c r="A192" s="16" t="str">
        <f aca="false">RIGHT('1. Elec Ref Grid'!A50,LEN('1. Elec Ref Grid'!A50)-FIND("-",'1. Elec Ref Grid'!A50))</f>
        <v>PL00</v>
      </c>
      <c r="B192" s="12" t="str">
        <f aca="false">LEFT('1. Elec Ref Grid'!A50,FIND("-",'1. Elec Ref Grid'!A50)-1)</f>
        <v>DKE1</v>
      </c>
      <c r="C192" s="1" t="s">
        <v>547</v>
      </c>
      <c r="D192" s="1" t="s">
        <v>548</v>
      </c>
      <c r="E192" s="1" t="n">
        <f aca="false">'1. Elec Ref Grid'!B51</f>
        <v>1700</v>
      </c>
    </row>
    <row r="193" customFormat="false" ht="13.8" hidden="false" customHeight="false" outlineLevel="0" collapsed="false">
      <c r="A193" s="16" t="str">
        <f aca="false">RIGHT('1. Elec Ref Grid'!A51,LEN('1. Elec Ref Grid'!A51)-FIND("-",'1. Elec Ref Grid'!A51))</f>
        <v>SE04</v>
      </c>
      <c r="B193" s="12" t="str">
        <f aca="false">LEFT('1. Elec Ref Grid'!A51,FIND("-",'1. Elec Ref Grid'!A51)-1)</f>
        <v>DKE1</v>
      </c>
      <c r="C193" s="1" t="s">
        <v>547</v>
      </c>
      <c r="D193" s="1" t="s">
        <v>548</v>
      </c>
      <c r="E193" s="1" t="n">
        <f aca="false">'1. Elec Ref Grid'!B52</f>
        <v>700</v>
      </c>
    </row>
    <row r="194" customFormat="false" ht="13.8" hidden="false" customHeight="false" outlineLevel="0" collapsed="false">
      <c r="A194" s="16" t="str">
        <f aca="false">RIGHT('1. Elec Ref Grid'!A52,LEN('1. Elec Ref Grid'!A52)-FIND("-",'1. Elec Ref Grid'!A52))</f>
        <v>NL00</v>
      </c>
      <c r="B194" s="12" t="str">
        <f aca="false">LEFT('1. Elec Ref Grid'!A52,FIND("-",'1. Elec Ref Grid'!A52)-1)</f>
        <v>DKW1</v>
      </c>
      <c r="C194" s="1" t="s">
        <v>547</v>
      </c>
      <c r="D194" s="1" t="s">
        <v>548</v>
      </c>
      <c r="E194" s="1" t="n">
        <f aca="false">'1. Elec Ref Grid'!B53</f>
        <v>1632</v>
      </c>
    </row>
    <row r="195" customFormat="false" ht="13.8" hidden="false" customHeight="false" outlineLevel="0" collapsed="false">
      <c r="A195" s="16" t="str">
        <f aca="false">RIGHT('1. Elec Ref Grid'!A53,LEN('1. Elec Ref Grid'!A53)-FIND("-",'1. Elec Ref Grid'!A53))</f>
        <v>NOS0</v>
      </c>
      <c r="B195" s="12" t="str">
        <f aca="false">LEFT('1. Elec Ref Grid'!A53,FIND("-",'1. Elec Ref Grid'!A53)-1)</f>
        <v>DKW1</v>
      </c>
      <c r="C195" s="1" t="s">
        <v>547</v>
      </c>
      <c r="D195" s="1" t="s">
        <v>548</v>
      </c>
      <c r="E195" s="1" t="n">
        <f aca="false">'1. Elec Ref Grid'!B54</f>
        <v>715</v>
      </c>
    </row>
    <row r="196" customFormat="false" ht="13.8" hidden="false" customHeight="false" outlineLevel="0" collapsed="false">
      <c r="A196" s="16" t="str">
        <f aca="false">RIGHT('1. Elec Ref Grid'!A54,LEN('1. Elec Ref Grid'!A54)-FIND("-",'1. Elec Ref Grid'!A54))</f>
        <v>SE03</v>
      </c>
      <c r="B196" s="12" t="str">
        <f aca="false">LEFT('1. Elec Ref Grid'!A54,FIND("-",'1. Elec Ref Grid'!A54)-1)</f>
        <v>DKW1</v>
      </c>
      <c r="C196" s="1" t="s">
        <v>547</v>
      </c>
      <c r="D196" s="1" t="s">
        <v>548</v>
      </c>
      <c r="E196" s="1" t="n">
        <f aca="false">'1. Elec Ref Grid'!B55</f>
        <v>1400</v>
      </c>
    </row>
    <row r="197" customFormat="false" ht="13.8" hidden="false" customHeight="false" outlineLevel="0" collapsed="false">
      <c r="A197" s="16" t="str">
        <f aca="false">RIGHT('1. Elec Ref Grid'!A55,LEN('1. Elec Ref Grid'!A55)-FIND("-",'1. Elec Ref Grid'!A55))</f>
        <v>UK00</v>
      </c>
      <c r="B197" s="12" t="str">
        <f aca="false">LEFT('1. Elec Ref Grid'!A55,FIND("-",'1. Elec Ref Grid'!A55)-1)</f>
        <v>DKW1</v>
      </c>
      <c r="C197" s="1" t="s">
        <v>547</v>
      </c>
      <c r="D197" s="1" t="s">
        <v>548</v>
      </c>
      <c r="E197" s="1" t="n">
        <f aca="false">'1. Elec Ref Grid'!B56</f>
        <v>1000</v>
      </c>
    </row>
    <row r="198" customFormat="false" ht="13.8" hidden="false" customHeight="false" outlineLevel="0" collapsed="false">
      <c r="A198" s="16" t="str">
        <f aca="false">RIGHT('1. Elec Ref Grid'!A56,LEN('1. Elec Ref Grid'!A56)-FIND("-",'1. Elec Ref Grid'!A56))</f>
        <v>MA00</v>
      </c>
      <c r="B198" s="12" t="str">
        <f aca="false">LEFT('1. Elec Ref Grid'!A56,FIND("-",'1. Elec Ref Grid'!A56)-1)</f>
        <v>DZ00</v>
      </c>
      <c r="C198" s="1" t="s">
        <v>547</v>
      </c>
      <c r="D198" s="1" t="s">
        <v>548</v>
      </c>
      <c r="E198" s="1" t="n">
        <f aca="false">'1. Elec Ref Grid'!B57</f>
        <v>250</v>
      </c>
    </row>
    <row r="199" customFormat="false" ht="13.8" hidden="false" customHeight="false" outlineLevel="0" collapsed="false">
      <c r="A199" s="16" t="str">
        <f aca="false">RIGHT('1. Elec Ref Grid'!A57,LEN('1. Elec Ref Grid'!A57)-FIND("-",'1. Elec Ref Grid'!A57))</f>
        <v>TN00</v>
      </c>
      <c r="B199" s="12" t="str">
        <f aca="false">LEFT('1. Elec Ref Grid'!A57,FIND("-",'1. Elec Ref Grid'!A57)-1)</f>
        <v>DZ00</v>
      </c>
      <c r="C199" s="1" t="s">
        <v>547</v>
      </c>
      <c r="D199" s="1" t="s">
        <v>548</v>
      </c>
      <c r="E199" s="1" t="n">
        <f aca="false">'1. Elec Ref Grid'!B58</f>
        <v>1016</v>
      </c>
    </row>
    <row r="200" customFormat="false" ht="13.8" hidden="false" customHeight="false" outlineLevel="0" collapsed="false">
      <c r="A200" s="16" t="str">
        <f aca="false">RIGHT('1. Elec Ref Grid'!A58,LEN('1. Elec Ref Grid'!A58)-FIND("-",'1. Elec Ref Grid'!A58))</f>
        <v>FI00</v>
      </c>
      <c r="B200" s="12" t="str">
        <f aca="false">LEFT('1. Elec Ref Grid'!A58,FIND("-",'1. Elec Ref Grid'!A58)-1)</f>
        <v>EE00</v>
      </c>
      <c r="C200" s="1" t="s">
        <v>547</v>
      </c>
      <c r="D200" s="1" t="s">
        <v>548</v>
      </c>
      <c r="E200" s="1" t="n">
        <f aca="false">'1. Elec Ref Grid'!B59</f>
        <v>950</v>
      </c>
    </row>
    <row r="201" customFormat="false" ht="13.8" hidden="false" customHeight="false" outlineLevel="0" collapsed="false">
      <c r="A201" s="16" t="str">
        <f aca="false">RIGHT('1. Elec Ref Grid'!A59,LEN('1. Elec Ref Grid'!A59)-FIND("-",'1. Elec Ref Grid'!A59))</f>
        <v>LV00</v>
      </c>
      <c r="B201" s="12" t="str">
        <f aca="false">LEFT('1. Elec Ref Grid'!A59,FIND("-",'1. Elec Ref Grid'!A59)-1)</f>
        <v>EE00</v>
      </c>
      <c r="C201" s="1" t="s">
        <v>547</v>
      </c>
      <c r="D201" s="1" t="s">
        <v>548</v>
      </c>
      <c r="E201" s="1" t="n">
        <f aca="false">'1. Elec Ref Grid'!B60</f>
        <v>3000</v>
      </c>
    </row>
    <row r="202" customFormat="false" ht="13.8" hidden="false" customHeight="false" outlineLevel="0" collapsed="false">
      <c r="A202" s="16" t="str">
        <f aca="false">RIGHT('1. Elec Ref Grid'!A60,LEN('1. Elec Ref Grid'!A60)-FIND("-",'1. Elec Ref Grid'!A60))</f>
        <v>GR00</v>
      </c>
      <c r="B202" s="12" t="str">
        <f aca="false">LEFT('1. Elec Ref Grid'!A60,FIND("-",'1. Elec Ref Grid'!A60)-1)</f>
        <v>EG00</v>
      </c>
      <c r="C202" s="1" t="s">
        <v>547</v>
      </c>
      <c r="D202" s="1" t="s">
        <v>548</v>
      </c>
      <c r="E202" s="1" t="n">
        <f aca="false">'1. Elec Ref Grid'!B61</f>
        <v>240</v>
      </c>
    </row>
    <row r="203" customFormat="false" ht="13.8" hidden="false" customHeight="false" outlineLevel="0" collapsed="false">
      <c r="A203" s="16" t="str">
        <f aca="false">RIGHT('1. Elec Ref Grid'!A61,LEN('1. Elec Ref Grid'!A61)-FIND("-",'1. Elec Ref Grid'!A61))</f>
        <v>LY00</v>
      </c>
      <c r="B203" s="12" t="str">
        <f aca="false">LEFT('1. Elec Ref Grid'!A61,FIND("-",'1. Elec Ref Grid'!A61)-1)</f>
        <v>EG00</v>
      </c>
      <c r="C203" s="1" t="s">
        <v>547</v>
      </c>
      <c r="D203" s="1" t="s">
        <v>548</v>
      </c>
      <c r="E203" s="1" t="n">
        <f aca="false">'1. Elec Ref Grid'!B62</f>
        <v>5000</v>
      </c>
    </row>
    <row r="204" customFormat="false" ht="13.8" hidden="false" customHeight="false" outlineLevel="0" collapsed="false">
      <c r="A204" s="16" t="str">
        <f aca="false">RIGHT('1. Elec Ref Grid'!A62,LEN('1. Elec Ref Grid'!A62)-FIND("-",'1. Elec Ref Grid'!A62))</f>
        <v>FR00</v>
      </c>
      <c r="B204" s="12" t="str">
        <f aca="false">LEFT('1. Elec Ref Grid'!A62,FIND("-",'1. Elec Ref Grid'!A62)-1)</f>
        <v>ES00</v>
      </c>
      <c r="C204" s="1" t="s">
        <v>547</v>
      </c>
      <c r="D204" s="1" t="s">
        <v>548</v>
      </c>
      <c r="E204" s="1" t="n">
        <f aca="false">'1. Elec Ref Grid'!B63</f>
        <v>900</v>
      </c>
    </row>
    <row r="205" customFormat="false" ht="13.8" hidden="false" customHeight="false" outlineLevel="0" collapsed="false">
      <c r="A205" s="16" t="str">
        <f aca="false">RIGHT('1. Elec Ref Grid'!A63,LEN('1. Elec Ref Grid'!A63)-FIND("-",'1. Elec Ref Grid'!A63))</f>
        <v>MA00</v>
      </c>
      <c r="B205" s="12" t="str">
        <f aca="false">LEFT('1. Elec Ref Grid'!A63,FIND("-",'1. Elec Ref Grid'!A63)-1)</f>
        <v>ES00</v>
      </c>
      <c r="C205" s="1" t="s">
        <v>547</v>
      </c>
      <c r="D205" s="1" t="s">
        <v>548</v>
      </c>
      <c r="E205" s="1" t="n">
        <f aca="false">'1. Elec Ref Grid'!B64</f>
        <v>4200</v>
      </c>
    </row>
    <row r="206" customFormat="false" ht="13.8" hidden="false" customHeight="false" outlineLevel="0" collapsed="false">
      <c r="A206" s="16" t="str">
        <f aca="false">RIGHT('1. Elec Ref Grid'!A64,LEN('1. Elec Ref Grid'!A64)-FIND("-",'1. Elec Ref Grid'!A64))</f>
        <v>PT00</v>
      </c>
      <c r="B206" s="12" t="str">
        <f aca="false">LEFT('1. Elec Ref Grid'!A64,FIND("-",'1. Elec Ref Grid'!A64)-1)</f>
        <v>ES00</v>
      </c>
      <c r="C206" s="1" t="s">
        <v>547</v>
      </c>
      <c r="D206" s="1" t="s">
        <v>548</v>
      </c>
      <c r="E206" s="1" t="n">
        <f aca="false">'1. Elec Ref Grid'!B65</f>
        <v>0</v>
      </c>
    </row>
    <row r="207" customFormat="false" ht="13.8" hidden="false" customHeight="false" outlineLevel="0" collapsed="false">
      <c r="A207" s="16" t="str">
        <f aca="false">RIGHT('1. Elec Ref Grid'!A65,LEN('1. Elec Ref Grid'!A65)-FIND("-",'1. Elec Ref Grid'!A65))</f>
        <v>NON1</v>
      </c>
      <c r="B207" s="12" t="str">
        <f aca="false">LEFT('1. Elec Ref Grid'!A65,FIND("-",'1. Elec Ref Grid'!A65)-1)</f>
        <v>FI00</v>
      </c>
      <c r="C207" s="1" t="s">
        <v>547</v>
      </c>
      <c r="D207" s="1" t="s">
        <v>548</v>
      </c>
      <c r="E207" s="1" t="n">
        <f aca="false">'1. Elec Ref Grid'!B66</f>
        <v>2000</v>
      </c>
    </row>
    <row r="208" customFormat="false" ht="13.8" hidden="false" customHeight="false" outlineLevel="0" collapsed="false">
      <c r="A208" s="16" t="str">
        <f aca="false">RIGHT('1. Elec Ref Grid'!A66,LEN('1. Elec Ref Grid'!A66)-FIND("-",'1. Elec Ref Grid'!A66))</f>
        <v>SE01</v>
      </c>
      <c r="B208" s="12" t="str">
        <f aca="false">LEFT('1. Elec Ref Grid'!A66,FIND("-",'1. Elec Ref Grid'!A66)-1)</f>
        <v>FI00</v>
      </c>
      <c r="C208" s="1" t="s">
        <v>547</v>
      </c>
      <c r="D208" s="1" t="s">
        <v>548</v>
      </c>
      <c r="E208" s="1" t="n">
        <f aca="false">'1. Elec Ref Grid'!B67</f>
        <v>0</v>
      </c>
    </row>
    <row r="209" customFormat="false" ht="13.8" hidden="false" customHeight="false" outlineLevel="0" collapsed="false">
      <c r="A209" s="16" t="str">
        <f aca="false">RIGHT('1. Elec Ref Grid'!A67,LEN('1. Elec Ref Grid'!A67)-FIND("-",'1. Elec Ref Grid'!A67))</f>
        <v>SE02</v>
      </c>
      <c r="B209" s="12" t="str">
        <f aca="false">LEFT('1. Elec Ref Grid'!A67,FIND("-",'1. Elec Ref Grid'!A67)-1)</f>
        <v>FI00</v>
      </c>
      <c r="C209" s="1" t="s">
        <v>547</v>
      </c>
      <c r="D209" s="1" t="s">
        <v>548</v>
      </c>
      <c r="E209" s="1" t="n">
        <f aca="false">'1. Elec Ref Grid'!B68</f>
        <v>1200</v>
      </c>
    </row>
    <row r="210" customFormat="false" ht="13.8" hidden="false" customHeight="false" outlineLevel="0" collapsed="false">
      <c r="A210" s="16" t="str">
        <f aca="false">RIGHT('1. Elec Ref Grid'!A68,LEN('1. Elec Ref Grid'!A68)-FIND("-",'1. Elec Ref Grid'!A68))</f>
        <v>SE03</v>
      </c>
      <c r="B210" s="12" t="str">
        <f aca="false">LEFT('1. Elec Ref Grid'!A68,FIND("-",'1. Elec Ref Grid'!A68)-1)</f>
        <v>FI00</v>
      </c>
      <c r="C210" s="1" t="s">
        <v>547</v>
      </c>
      <c r="D210" s="1" t="s">
        <v>548</v>
      </c>
      <c r="E210" s="1" t="n">
        <f aca="false">'1. Elec Ref Grid'!B69</f>
        <v>700</v>
      </c>
    </row>
    <row r="211" customFormat="false" ht="13.8" hidden="false" customHeight="false" outlineLevel="0" collapsed="false">
      <c r="A211" s="16" t="str">
        <f aca="false">RIGHT('1. Elec Ref Grid'!A69,LEN('1. Elec Ref Grid'!A69)-FIND("-",'1. Elec Ref Grid'!A69))</f>
        <v>IE00</v>
      </c>
      <c r="B211" s="12" t="str">
        <f aca="false">LEFT('1. Elec Ref Grid'!A69,FIND("-",'1. Elec Ref Grid'!A69)-1)</f>
        <v>FR00</v>
      </c>
      <c r="C211" s="1" t="s">
        <v>547</v>
      </c>
      <c r="D211" s="1" t="s">
        <v>548</v>
      </c>
      <c r="E211" s="1" t="n">
        <f aca="false">'1. Elec Ref Grid'!B70</f>
        <v>4485</v>
      </c>
    </row>
    <row r="212" customFormat="false" ht="13.8" hidden="false" customHeight="false" outlineLevel="0" collapsed="false">
      <c r="A212" s="16" t="str">
        <f aca="false">RIGHT('1. Elec Ref Grid'!A70,LEN('1. Elec Ref Grid'!A70)-FIND("-",'1. Elec Ref Grid'!A70))</f>
        <v>ITN1</v>
      </c>
      <c r="B212" s="12" t="str">
        <f aca="false">LEFT('1. Elec Ref Grid'!A70,FIND("-",'1. Elec Ref Grid'!A70)-1)</f>
        <v>FR00</v>
      </c>
      <c r="C212" s="1" t="s">
        <v>547</v>
      </c>
      <c r="D212" s="1" t="s">
        <v>548</v>
      </c>
      <c r="E212" s="1" t="n">
        <f aca="false">'1. Elec Ref Grid'!B71</f>
        <v>380</v>
      </c>
    </row>
    <row r="213" customFormat="false" ht="13.8" hidden="false" customHeight="false" outlineLevel="0" collapsed="false">
      <c r="A213" s="16" t="str">
        <f aca="false">RIGHT('1. Elec Ref Grid'!A71,LEN('1. Elec Ref Grid'!A71)-FIND("-",'1. Elec Ref Grid'!A71))</f>
        <v>LUF1</v>
      </c>
      <c r="B213" s="12" t="str">
        <f aca="false">LEFT('1. Elec Ref Grid'!A71,FIND("-",'1. Elec Ref Grid'!A71)-1)</f>
        <v>FR00</v>
      </c>
      <c r="C213" s="1" t="s">
        <v>547</v>
      </c>
      <c r="D213" s="1" t="s">
        <v>548</v>
      </c>
      <c r="E213" s="1" t="n">
        <f aca="false">'1. Elec Ref Grid'!B72</f>
        <v>5600</v>
      </c>
    </row>
    <row r="214" customFormat="false" ht="13.8" hidden="false" customHeight="false" outlineLevel="0" collapsed="false">
      <c r="A214" s="16" t="str">
        <f aca="false">RIGHT('1. Elec Ref Grid'!A72,LEN('1. Elec Ref Grid'!A72)-FIND("-",'1. Elec Ref Grid'!A72))</f>
        <v>UK00</v>
      </c>
      <c r="B214" s="12" t="str">
        <f aca="false">LEFT('1. Elec Ref Grid'!A72,FIND("-",'1. Elec Ref Grid'!A72)-1)</f>
        <v>FR00</v>
      </c>
      <c r="C214" s="1" t="s">
        <v>547</v>
      </c>
      <c r="D214" s="1" t="s">
        <v>548</v>
      </c>
      <c r="E214" s="1" t="n">
        <f aca="false">'1. Elec Ref Grid'!B73</f>
        <v>120</v>
      </c>
    </row>
    <row r="215" customFormat="false" ht="13.8" hidden="false" customHeight="false" outlineLevel="0" collapsed="false">
      <c r="A215" s="16" t="str">
        <f aca="false">RIGHT('1. Elec Ref Grid'!A73,LEN('1. Elec Ref Grid'!A73)-FIND("-",'1. Elec Ref Grid'!A73))</f>
        <v>ITCO</v>
      </c>
      <c r="B215" s="12" t="str">
        <f aca="false">LEFT('1. Elec Ref Grid'!A73,FIND("-",'1. Elec Ref Grid'!A73)-1)</f>
        <v>FR15</v>
      </c>
      <c r="C215" s="1" t="s">
        <v>547</v>
      </c>
      <c r="D215" s="1" t="s">
        <v>548</v>
      </c>
      <c r="E215" s="1" t="n">
        <f aca="false">'1. Elec Ref Grid'!B74</f>
        <v>800</v>
      </c>
    </row>
    <row r="216" customFormat="false" ht="13.8" hidden="false" customHeight="false" outlineLevel="0" collapsed="false">
      <c r="A216" s="16" t="str">
        <f aca="false">RIGHT('1. Elec Ref Grid'!A74,LEN('1. Elec Ref Grid'!A74)-FIND("-",'1. Elec Ref Grid'!A74))</f>
        <v>GR03</v>
      </c>
      <c r="B216" s="12" t="str">
        <f aca="false">LEFT('1. Elec Ref Grid'!A74,FIND("-",'1. Elec Ref Grid'!A74)-1)</f>
        <v>GR00</v>
      </c>
      <c r="C216" s="1" t="s">
        <v>547</v>
      </c>
      <c r="D216" s="1" t="s">
        <v>548</v>
      </c>
      <c r="E216" s="1" t="n">
        <f aca="false">'1. Elec Ref Grid'!B75</f>
        <v>500</v>
      </c>
    </row>
    <row r="217" customFormat="false" ht="13.8" hidden="false" customHeight="false" outlineLevel="0" collapsed="false">
      <c r="A217" s="16" t="str">
        <f aca="false">RIGHT('1. Elec Ref Grid'!A75,LEN('1. Elec Ref Grid'!A75)-FIND("-",'1. Elec Ref Grid'!A75))</f>
        <v>ITS1</v>
      </c>
      <c r="B217" s="12" t="str">
        <f aca="false">LEFT('1. Elec Ref Grid'!A75,FIND("-",'1. Elec Ref Grid'!A75)-1)</f>
        <v>GR00</v>
      </c>
      <c r="C217" s="1" t="s">
        <v>547</v>
      </c>
      <c r="D217" s="1" t="s">
        <v>548</v>
      </c>
      <c r="E217" s="1" t="n">
        <f aca="false">'1. Elec Ref Grid'!B76</f>
        <v>0</v>
      </c>
    </row>
    <row r="218" customFormat="false" ht="13.8" hidden="false" customHeight="false" outlineLevel="0" collapsed="false">
      <c r="A218" s="16" t="str">
        <f aca="false">RIGHT('1. Elec Ref Grid'!A76,LEN('1. Elec Ref Grid'!A76)-FIND("-",'1. Elec Ref Grid'!A76))</f>
        <v>LY00</v>
      </c>
      <c r="B218" s="12" t="str">
        <f aca="false">LEFT('1. Elec Ref Grid'!A76,FIND("-",'1. Elec Ref Grid'!A76)-1)</f>
        <v>GR00</v>
      </c>
      <c r="C218" s="1" t="s">
        <v>547</v>
      </c>
      <c r="D218" s="1" t="s">
        <v>548</v>
      </c>
      <c r="E218" s="1" t="n">
        <f aca="false">'1. Elec Ref Grid'!B77</f>
        <v>1100</v>
      </c>
    </row>
    <row r="219" customFormat="false" ht="13.8" hidden="false" customHeight="false" outlineLevel="0" collapsed="false">
      <c r="A219" s="16" t="str">
        <f aca="false">RIGHT('1. Elec Ref Grid'!A77,LEN('1. Elec Ref Grid'!A77)-FIND("-",'1. Elec Ref Grid'!A77))</f>
        <v>MK00</v>
      </c>
      <c r="B219" s="12" t="str">
        <f aca="false">LEFT('1. Elec Ref Grid'!A77,FIND("-",'1. Elec Ref Grid'!A77)-1)</f>
        <v>GR00</v>
      </c>
      <c r="C219" s="1" t="s">
        <v>547</v>
      </c>
      <c r="D219" s="1" t="s">
        <v>548</v>
      </c>
      <c r="E219" s="1" t="n">
        <f aca="false">'1. Elec Ref Grid'!B78</f>
        <v>660</v>
      </c>
    </row>
    <row r="220" customFormat="false" ht="13.8" hidden="false" customHeight="false" outlineLevel="0" collapsed="false">
      <c r="A220" s="16" t="str">
        <f aca="false">RIGHT('1. Elec Ref Grid'!A78,LEN('1. Elec Ref Grid'!A78)-FIND("-",'1. Elec Ref Grid'!A78))</f>
        <v>TR00</v>
      </c>
      <c r="B220" s="12" t="str">
        <f aca="false">LEFT('1. Elec Ref Grid'!A78,FIND("-",'1. Elec Ref Grid'!A78)-1)</f>
        <v>GR00</v>
      </c>
      <c r="C220" s="1" t="s">
        <v>547</v>
      </c>
      <c r="D220" s="1" t="s">
        <v>548</v>
      </c>
      <c r="E220" s="1" t="n">
        <f aca="false">'1. Elec Ref Grid'!B79</f>
        <v>0</v>
      </c>
    </row>
    <row r="221" customFormat="false" ht="13.8" hidden="false" customHeight="false" outlineLevel="0" collapsed="false">
      <c r="A221" s="16" t="str">
        <f aca="false">RIGHT('1. Elec Ref Grid'!A79,LEN('1. Elec Ref Grid'!A79)-FIND("-",'1. Elec Ref Grid'!A79))</f>
        <v>LY00</v>
      </c>
      <c r="B221" s="12" t="str">
        <f aca="false">LEFT('1. Elec Ref Grid'!A79,FIND("-",'1. Elec Ref Grid'!A79)-1)</f>
        <v>GR03</v>
      </c>
      <c r="C221" s="1" t="s">
        <v>547</v>
      </c>
      <c r="D221" s="1" t="s">
        <v>548</v>
      </c>
      <c r="E221" s="1" t="n">
        <f aca="false">'1. Elec Ref Grid'!B80</f>
        <v>800</v>
      </c>
    </row>
    <row r="222" customFormat="false" ht="13.8" hidden="false" customHeight="false" outlineLevel="0" collapsed="false">
      <c r="A222" s="16" t="str">
        <f aca="false">RIGHT('1. Elec Ref Grid'!A80,LEN('1. Elec Ref Grid'!A80)-FIND("-",'1. Elec Ref Grid'!A80))</f>
        <v>HU00</v>
      </c>
      <c r="B222" s="12" t="str">
        <f aca="false">LEFT('1. Elec Ref Grid'!A80,FIND("-",'1. Elec Ref Grid'!A80)-1)</f>
        <v>HR00</v>
      </c>
      <c r="C222" s="1" t="s">
        <v>547</v>
      </c>
      <c r="D222" s="1" t="s">
        <v>548</v>
      </c>
      <c r="E222" s="1" t="n">
        <f aca="false">'1. Elec Ref Grid'!B81</f>
        <v>300</v>
      </c>
    </row>
    <row r="223" customFormat="false" ht="13.8" hidden="false" customHeight="false" outlineLevel="0" collapsed="false">
      <c r="A223" s="16" t="str">
        <f aca="false">RIGHT('1. Elec Ref Grid'!A81,LEN('1. Elec Ref Grid'!A81)-FIND("-",'1. Elec Ref Grid'!A81))</f>
        <v>RS00</v>
      </c>
      <c r="B223" s="12" t="str">
        <f aca="false">LEFT('1. Elec Ref Grid'!A81,FIND("-",'1. Elec Ref Grid'!A81)-1)</f>
        <v>HR00</v>
      </c>
      <c r="C223" s="1" t="s">
        <v>547</v>
      </c>
      <c r="D223" s="1" t="s">
        <v>548</v>
      </c>
      <c r="E223" s="1" t="n">
        <f aca="false">'1. Elec Ref Grid'!B82</f>
        <v>1500</v>
      </c>
    </row>
    <row r="224" customFormat="false" ht="13.8" hidden="false" customHeight="false" outlineLevel="0" collapsed="false">
      <c r="A224" s="16" t="str">
        <f aca="false">RIGHT('1. Elec Ref Grid'!A82,LEN('1. Elec Ref Grid'!A82)-FIND("-",'1. Elec Ref Grid'!A82))</f>
        <v>SI00</v>
      </c>
      <c r="B224" s="12" t="str">
        <f aca="false">LEFT('1. Elec Ref Grid'!A82,FIND("-",'1. Elec Ref Grid'!A82)-1)</f>
        <v>HR00</v>
      </c>
      <c r="C224" s="1" t="s">
        <v>547</v>
      </c>
      <c r="D224" s="1" t="s">
        <v>548</v>
      </c>
      <c r="E224" s="1" t="n">
        <f aca="false">'1. Elec Ref Grid'!B83</f>
        <v>1617</v>
      </c>
    </row>
    <row r="225" customFormat="false" ht="13.8" hidden="false" customHeight="false" outlineLevel="0" collapsed="false">
      <c r="A225" s="16" t="str">
        <f aca="false">RIGHT('1. Elec Ref Grid'!A83,LEN('1. Elec Ref Grid'!A83)-FIND("-",'1. Elec Ref Grid'!A83))</f>
        <v>RO00</v>
      </c>
      <c r="B225" s="12" t="str">
        <f aca="false">LEFT('1. Elec Ref Grid'!A83,FIND("-",'1. Elec Ref Grid'!A83)-1)</f>
        <v>HU00</v>
      </c>
      <c r="C225" s="1" t="s">
        <v>547</v>
      </c>
      <c r="D225" s="1" t="s">
        <v>548</v>
      </c>
      <c r="E225" s="1" t="n">
        <f aca="false">'1. Elec Ref Grid'!B84</f>
        <v>600</v>
      </c>
    </row>
    <row r="226" customFormat="false" ht="13.8" hidden="false" customHeight="false" outlineLevel="0" collapsed="false">
      <c r="A226" s="16" t="str">
        <f aca="false">RIGHT('1. Elec Ref Grid'!A84,LEN('1. Elec Ref Grid'!A84)-FIND("-",'1. Elec Ref Grid'!A84))</f>
        <v>RS00</v>
      </c>
      <c r="B226" s="12" t="str">
        <f aca="false">LEFT('1. Elec Ref Grid'!A84,FIND("-",'1. Elec Ref Grid'!A84)-1)</f>
        <v>HU00</v>
      </c>
      <c r="C226" s="1" t="s">
        <v>547</v>
      </c>
      <c r="D226" s="1" t="s">
        <v>548</v>
      </c>
      <c r="E226" s="1" t="n">
        <f aca="false">'1. Elec Ref Grid'!B85</f>
        <v>1200</v>
      </c>
    </row>
    <row r="227" customFormat="false" ht="13.8" hidden="false" customHeight="false" outlineLevel="0" collapsed="false">
      <c r="A227" s="16" t="str">
        <f aca="false">RIGHT('1. Elec Ref Grid'!A85,LEN('1. Elec Ref Grid'!A85)-FIND("-",'1. Elec Ref Grid'!A85))</f>
        <v>SI00</v>
      </c>
      <c r="B227" s="12" t="str">
        <f aca="false">LEFT('1. Elec Ref Grid'!A85,FIND("-",'1. Elec Ref Grid'!A85)-1)</f>
        <v>HU00</v>
      </c>
      <c r="C227" s="1" t="s">
        <v>547</v>
      </c>
      <c r="D227" s="1" t="s">
        <v>548</v>
      </c>
      <c r="E227" s="1" t="n">
        <f aca="false">'1. Elec Ref Grid'!B86</f>
        <v>1800</v>
      </c>
    </row>
    <row r="228" customFormat="false" ht="13.8" hidden="false" customHeight="false" outlineLevel="0" collapsed="false">
      <c r="A228" s="16" t="str">
        <f aca="false">RIGHT('1. Elec Ref Grid'!A86,LEN('1. Elec Ref Grid'!A86)-FIND("-",'1. Elec Ref Grid'!A86))</f>
        <v>SK00</v>
      </c>
      <c r="B228" s="12" t="str">
        <f aca="false">LEFT('1. Elec Ref Grid'!A86,FIND("-",'1. Elec Ref Grid'!A86)-1)</f>
        <v>HU00</v>
      </c>
      <c r="C228" s="1" t="s">
        <v>547</v>
      </c>
      <c r="D228" s="1" t="s">
        <v>548</v>
      </c>
      <c r="E228" s="1" t="n">
        <f aca="false">'1. Elec Ref Grid'!B87</f>
        <v>450</v>
      </c>
    </row>
    <row r="229" customFormat="false" ht="13.8" hidden="false" customHeight="false" outlineLevel="0" collapsed="false">
      <c r="A229" s="16" t="str">
        <f aca="false">RIGHT('1. Elec Ref Grid'!A87,LEN('1. Elec Ref Grid'!A87)-FIND("-",'1. Elec Ref Grid'!A87))</f>
        <v>UA01</v>
      </c>
      <c r="B229" s="12" t="str">
        <f aca="false">LEFT('1. Elec Ref Grid'!A87,FIND("-",'1. Elec Ref Grid'!A87)-1)</f>
        <v>HU00</v>
      </c>
      <c r="C229" s="1" t="s">
        <v>547</v>
      </c>
      <c r="D229" s="1" t="s">
        <v>548</v>
      </c>
      <c r="E229" s="1" t="n">
        <f aca="false">'1. Elec Ref Grid'!B88</f>
        <v>1750</v>
      </c>
    </row>
    <row r="230" customFormat="false" ht="13.8" hidden="false" customHeight="false" outlineLevel="0" collapsed="false">
      <c r="A230" s="16" t="str">
        <f aca="false">RIGHT('1. Elec Ref Grid'!A88,LEN('1. Elec Ref Grid'!A88)-FIND("-",'1. Elec Ref Grid'!A88))</f>
        <v>UK00</v>
      </c>
      <c r="B230" s="12" t="str">
        <f aca="false">LEFT('1. Elec Ref Grid'!A88,FIND("-",'1. Elec Ref Grid'!A88)-1)</f>
        <v>IE00</v>
      </c>
      <c r="C230" s="1" t="s">
        <v>547</v>
      </c>
      <c r="D230" s="1" t="s">
        <v>548</v>
      </c>
      <c r="E230" s="1" t="n">
        <f aca="false">'1. Elec Ref Grid'!B89</f>
        <v>1250</v>
      </c>
    </row>
    <row r="231" customFormat="false" ht="13.8" hidden="false" customHeight="false" outlineLevel="0" collapsed="false">
      <c r="A231" s="16" t="str">
        <f aca="false">RIGHT('1. Elec Ref Grid'!A89,LEN('1. Elec Ref Grid'!A89)-FIND("-",'1. Elec Ref Grid'!A89))</f>
        <v>UKNI</v>
      </c>
      <c r="B231" s="12" t="str">
        <f aca="false">LEFT('1. Elec Ref Grid'!A89,FIND("-",'1. Elec Ref Grid'!A89)-1)</f>
        <v>IE00</v>
      </c>
      <c r="C231" s="1" t="s">
        <v>547</v>
      </c>
      <c r="D231" s="1" t="s">
        <v>548</v>
      </c>
      <c r="E231" s="1" t="n">
        <f aca="false">'1. Elec Ref Grid'!B90</f>
        <v>3000</v>
      </c>
    </row>
    <row r="232" customFormat="false" ht="13.8" hidden="false" customHeight="false" outlineLevel="0" collapsed="false">
      <c r="A232" s="16" t="str">
        <f aca="false">RIGHT('1. Elec Ref Grid'!A90,LEN('1. Elec Ref Grid'!A90)-FIND("-",'1. Elec Ref Grid'!A90))</f>
        <v>PS00</v>
      </c>
      <c r="B232" s="12" t="str">
        <f aca="false">LEFT('1. Elec Ref Grid'!A90,FIND("-",'1. Elec Ref Grid'!A90)-1)</f>
        <v>IL00</v>
      </c>
      <c r="C232" s="1" t="s">
        <v>547</v>
      </c>
      <c r="D232" s="1" t="s">
        <v>548</v>
      </c>
      <c r="E232" s="1" t="n">
        <f aca="false">'1. Elec Ref Grid'!B91</f>
        <v>0</v>
      </c>
    </row>
    <row r="233" customFormat="false" ht="13.8" hidden="false" customHeight="false" outlineLevel="0" collapsed="false">
      <c r="A233" s="16" t="str">
        <f aca="false">RIGHT('1. Elec Ref Grid'!A91,LEN('1. Elec Ref Grid'!A91)-FIND("-",'1. Elec Ref Grid'!A91))</f>
        <v>UK00</v>
      </c>
      <c r="B233" s="12" t="str">
        <f aca="false">LEFT('1. Elec Ref Grid'!A91,FIND("-",'1. Elec Ref Grid'!A91)-1)</f>
        <v>IS00</v>
      </c>
      <c r="C233" s="1" t="s">
        <v>547</v>
      </c>
      <c r="D233" s="1" t="s">
        <v>548</v>
      </c>
      <c r="E233" s="1" t="n">
        <f aca="false">'1. Elec Ref Grid'!B92</f>
        <v>400</v>
      </c>
    </row>
    <row r="234" customFormat="false" ht="13.8" hidden="false" customHeight="false" outlineLevel="0" collapsed="false">
      <c r="A234" s="16" t="str">
        <f aca="false">RIGHT('1. Elec Ref Grid'!A92,LEN('1. Elec Ref Grid'!A92)-FIND("-",'1. Elec Ref Grid'!A92))</f>
        <v>ITCO</v>
      </c>
      <c r="B234" s="12" t="str">
        <f aca="false">LEFT('1. Elec Ref Grid'!A92,FIND("-",'1. Elec Ref Grid'!A92)-1)</f>
        <v>ITCN</v>
      </c>
      <c r="C234" s="1" t="s">
        <v>547</v>
      </c>
      <c r="D234" s="1" t="s">
        <v>548</v>
      </c>
      <c r="E234" s="1" t="n">
        <f aca="false">'1. Elec Ref Grid'!B93</f>
        <v>4650</v>
      </c>
    </row>
    <row r="235" customFormat="false" ht="13.8" hidden="false" customHeight="false" outlineLevel="0" collapsed="false">
      <c r="A235" s="16" t="str">
        <f aca="false">RIGHT('1. Elec Ref Grid'!A93,LEN('1. Elec Ref Grid'!A93)-FIND("-",'1. Elec Ref Grid'!A93))</f>
        <v>ITCS</v>
      </c>
      <c r="B235" s="12" t="str">
        <f aca="false">LEFT('1. Elec Ref Grid'!A93,FIND("-",'1. Elec Ref Grid'!A93)-1)</f>
        <v>ITCN</v>
      </c>
      <c r="C235" s="1" t="s">
        <v>547</v>
      </c>
      <c r="D235" s="1" t="s">
        <v>548</v>
      </c>
      <c r="E235" s="1" t="n">
        <f aca="false">'1. Elec Ref Grid'!B94</f>
        <v>4500</v>
      </c>
    </row>
    <row r="236" customFormat="false" ht="13.8" hidden="false" customHeight="false" outlineLevel="0" collapsed="false">
      <c r="A236" s="16" t="str">
        <f aca="false">RIGHT('1. Elec Ref Grid'!A94,LEN('1. Elec Ref Grid'!A94)-FIND("-",'1. Elec Ref Grid'!A94))</f>
        <v>ITN1</v>
      </c>
      <c r="B236" s="12" t="str">
        <f aca="false">LEFT('1. Elec Ref Grid'!A94,FIND("-",'1. Elec Ref Grid'!A94)-1)</f>
        <v>ITCN</v>
      </c>
      <c r="C236" s="1" t="s">
        <v>547</v>
      </c>
      <c r="D236" s="1" t="s">
        <v>548</v>
      </c>
      <c r="E236" s="1" t="n">
        <f aca="false">'1. Elec Ref Grid'!B95</f>
        <v>420</v>
      </c>
    </row>
    <row r="237" customFormat="false" ht="13.8" hidden="false" customHeight="false" outlineLevel="0" collapsed="false">
      <c r="A237" s="16" t="str">
        <f aca="false">RIGHT('1. Elec Ref Grid'!A95,LEN('1. Elec Ref Grid'!A95)-FIND("-",'1. Elec Ref Grid'!A95))</f>
        <v>ITSA</v>
      </c>
      <c r="B237" s="12" t="str">
        <f aca="false">LEFT('1. Elec Ref Grid'!A95,FIND("-",'1. Elec Ref Grid'!A95)-1)</f>
        <v>ITCO</v>
      </c>
      <c r="C237" s="1" t="s">
        <v>547</v>
      </c>
      <c r="D237" s="1" t="s">
        <v>548</v>
      </c>
      <c r="E237" s="1" t="n">
        <f aca="false">'1. Elec Ref Grid'!B96</f>
        <v>3100</v>
      </c>
    </row>
    <row r="238" customFormat="false" ht="13.8" hidden="false" customHeight="false" outlineLevel="0" collapsed="false">
      <c r="A238" s="16" t="str">
        <f aca="false">RIGHT('1. Elec Ref Grid'!A96,LEN('1. Elec Ref Grid'!A96)-FIND("-",'1. Elec Ref Grid'!A96))</f>
        <v>ITS1</v>
      </c>
      <c r="B238" s="12" t="str">
        <f aca="false">LEFT('1. Elec Ref Grid'!A96,FIND("-",'1. Elec Ref Grid'!A96)-1)</f>
        <v>ITCS</v>
      </c>
      <c r="C238" s="1" t="s">
        <v>547</v>
      </c>
      <c r="D238" s="1" t="s">
        <v>548</v>
      </c>
      <c r="E238" s="1" t="n">
        <f aca="false">'1. Elec Ref Grid'!B97</f>
        <v>720</v>
      </c>
    </row>
    <row r="239" customFormat="false" ht="13.8" hidden="false" customHeight="false" outlineLevel="0" collapsed="false">
      <c r="A239" s="16" t="str">
        <f aca="false">RIGHT('1. Elec Ref Grid'!A97,LEN('1. Elec Ref Grid'!A97)-FIND("-",'1. Elec Ref Grid'!A97))</f>
        <v>ITSA</v>
      </c>
      <c r="B239" s="12" t="str">
        <f aca="false">LEFT('1. Elec Ref Grid'!A97,FIND("-",'1. Elec Ref Grid'!A97)-1)</f>
        <v>ITCS</v>
      </c>
      <c r="C239" s="1" t="s">
        <v>547</v>
      </c>
      <c r="D239" s="1" t="s">
        <v>548</v>
      </c>
      <c r="E239" s="1" t="n">
        <f aca="false">'1. Elec Ref Grid'!B98</f>
        <v>1000</v>
      </c>
    </row>
    <row r="240" customFormat="false" ht="13.8" hidden="false" customHeight="false" outlineLevel="0" collapsed="false">
      <c r="A240" s="16" t="str">
        <f aca="false">RIGHT('1. Elec Ref Grid'!A98,LEN('1. Elec Ref Grid'!A98)-FIND("-",'1. Elec Ref Grid'!A98))</f>
        <v>ITSIvirt</v>
      </c>
      <c r="B240" s="12" t="str">
        <f aca="false">LEFT('1. Elec Ref Grid'!A98,FIND("-",'1. Elec Ref Grid'!A98)-1)</f>
        <v>ITCS</v>
      </c>
      <c r="C240" s="1" t="s">
        <v>547</v>
      </c>
      <c r="D240" s="1" t="s">
        <v>548</v>
      </c>
      <c r="E240" s="1" t="n">
        <f aca="false">'1. Elec Ref Grid'!B99</f>
        <v>600</v>
      </c>
    </row>
    <row r="241" customFormat="false" ht="13.8" hidden="false" customHeight="false" outlineLevel="0" collapsed="false">
      <c r="A241" s="16" t="str">
        <f aca="false">RIGHT('1. Elec Ref Grid'!A99,LEN('1. Elec Ref Grid'!A99)-FIND("-",'1. Elec Ref Grid'!A99))</f>
        <v>ME00</v>
      </c>
      <c r="B241" s="12" t="str">
        <f aca="false">LEFT('1. Elec Ref Grid'!A99,FIND("-",'1. Elec Ref Grid'!A99)-1)</f>
        <v>ITCS</v>
      </c>
      <c r="C241" s="1" t="s">
        <v>547</v>
      </c>
      <c r="D241" s="1" t="s">
        <v>548</v>
      </c>
      <c r="E241" s="1" t="n">
        <f aca="false">'1. Elec Ref Grid'!B100</f>
        <v>1080</v>
      </c>
    </row>
    <row r="242" customFormat="false" ht="13.8" hidden="false" customHeight="false" outlineLevel="0" collapsed="false">
      <c r="A242" s="16" t="str">
        <f aca="false">RIGHT('1. Elec Ref Grid'!A100,LEN('1. Elec Ref Grid'!A100)-FIND("-",'1. Elec Ref Grid'!A100))</f>
        <v>SI00</v>
      </c>
      <c r="B242" s="12" t="str">
        <f aca="false">LEFT('1. Elec Ref Grid'!A100,FIND("-",'1. Elec Ref Grid'!A100)-1)</f>
        <v>ITN1</v>
      </c>
      <c r="C242" s="1" t="s">
        <v>547</v>
      </c>
      <c r="D242" s="1" t="s">
        <v>548</v>
      </c>
      <c r="E242" s="1" t="n">
        <f aca="false">'1. Elec Ref Grid'!B101</f>
        <v>2000</v>
      </c>
    </row>
    <row r="243" customFormat="false" ht="13.8" hidden="false" customHeight="false" outlineLevel="0" collapsed="false">
      <c r="A243" s="16" t="str">
        <f aca="false">RIGHT('1. Elec Ref Grid'!A101,LEN('1. Elec Ref Grid'!A101)-FIND("-",'1. Elec Ref Grid'!A101))</f>
        <v>ITCA</v>
      </c>
      <c r="B243" s="12" t="str">
        <f aca="false">LEFT('1. Elec Ref Grid'!A101,FIND("-",'1. Elec Ref Grid'!A101)-1)</f>
        <v>ITS1</v>
      </c>
      <c r="C243" s="1" t="s">
        <v>547</v>
      </c>
      <c r="D243" s="1" t="s">
        <v>548</v>
      </c>
      <c r="E243" s="1" t="n">
        <f aca="false">'1. Elec Ref Grid'!B102</f>
        <v>1000</v>
      </c>
    </row>
    <row r="244" customFormat="false" ht="13.8" hidden="false" customHeight="false" outlineLevel="0" collapsed="false">
      <c r="A244" s="16" t="str">
        <f aca="false">RIGHT('1. Elec Ref Grid'!A102,LEN('1. Elec Ref Grid'!A102)-FIND("-",'1. Elec Ref Grid'!A102))</f>
        <v>ITSIvirt</v>
      </c>
      <c r="B244" s="12" t="str">
        <f aca="false">LEFT('1. Elec Ref Grid'!A102,FIND("-",'1. Elec Ref Grid'!A102)-1)</f>
        <v>ITSA</v>
      </c>
      <c r="C244" s="1" t="s">
        <v>547</v>
      </c>
      <c r="D244" s="1" t="s">
        <v>548</v>
      </c>
      <c r="E244" s="1" t="n">
        <f aca="false">'1. Elec Ref Grid'!B103</f>
        <v>2000</v>
      </c>
    </row>
    <row r="245" customFormat="false" ht="13.8" hidden="false" customHeight="false" outlineLevel="0" collapsed="false">
      <c r="A245" s="16" t="str">
        <f aca="false">RIGHT('1. Elec Ref Grid'!A103,LEN('1. Elec Ref Grid'!A103)-FIND("-",'1. Elec Ref Grid'!A103))</f>
        <v>ITCA</v>
      </c>
      <c r="B245" s="12" t="str">
        <f aca="false">LEFT('1. Elec Ref Grid'!A103,FIND("-",'1. Elec Ref Grid'!A103)-1)</f>
        <v>ITSI</v>
      </c>
      <c r="C245" s="1" t="s">
        <v>547</v>
      </c>
      <c r="D245" s="1" t="s">
        <v>548</v>
      </c>
      <c r="E245" s="1" t="n">
        <f aca="false">'1. Elec Ref Grid'!B104</f>
        <v>1500</v>
      </c>
    </row>
    <row r="246" customFormat="false" ht="13.8" hidden="false" customHeight="false" outlineLevel="0" collapsed="false">
      <c r="A246" s="16" t="str">
        <f aca="false">RIGHT('1. Elec Ref Grid'!A104,LEN('1. Elec Ref Grid'!A104)-FIND("-",'1. Elec Ref Grid'!A104))</f>
        <v>ITSIvirt</v>
      </c>
      <c r="B246" s="12" t="str">
        <f aca="false">LEFT('1. Elec Ref Grid'!A104,FIND("-",'1. Elec Ref Grid'!A104)-1)</f>
        <v>ITSI</v>
      </c>
      <c r="C246" s="1" t="s">
        <v>547</v>
      </c>
      <c r="D246" s="1" t="s">
        <v>548</v>
      </c>
      <c r="E246" s="1" t="n">
        <f aca="false">'1. Elec Ref Grid'!B105</f>
        <v>225</v>
      </c>
    </row>
    <row r="247" customFormat="false" ht="13.8" hidden="false" customHeight="false" outlineLevel="0" collapsed="false">
      <c r="A247" s="16" t="str">
        <f aca="false">RIGHT('1. Elec Ref Grid'!A105,LEN('1. Elec Ref Grid'!A105)-FIND("-",'1. Elec Ref Grid'!A105))</f>
        <v>MT00</v>
      </c>
      <c r="B247" s="12" t="str">
        <f aca="false">LEFT('1. Elec Ref Grid'!A105,FIND("-",'1. Elec Ref Grid'!A105)-1)</f>
        <v>ITSI</v>
      </c>
      <c r="C247" s="1" t="s">
        <v>547</v>
      </c>
      <c r="D247" s="1" t="s">
        <v>548</v>
      </c>
      <c r="E247" s="1" t="n">
        <f aca="false">'1. Elec Ref Grid'!B106</f>
        <v>600</v>
      </c>
    </row>
    <row r="248" customFormat="false" ht="13.8" hidden="false" customHeight="false" outlineLevel="0" collapsed="false">
      <c r="A248" s="16" t="str">
        <f aca="false">RIGHT('1. Elec Ref Grid'!A106,LEN('1. Elec Ref Grid'!A106)-FIND("-",'1. Elec Ref Grid'!A106))</f>
        <v>TN00</v>
      </c>
      <c r="B248" s="12" t="str">
        <f aca="false">LEFT('1. Elec Ref Grid'!A106,FIND("-",'1. Elec Ref Grid'!A106)-1)</f>
        <v>ITSI</v>
      </c>
      <c r="C248" s="1" t="s">
        <v>547</v>
      </c>
      <c r="D248" s="1" t="s">
        <v>548</v>
      </c>
      <c r="E248" s="1" t="n">
        <f aca="false">'1. Elec Ref Grid'!B107</f>
        <v>950</v>
      </c>
    </row>
    <row r="249" customFormat="false" ht="13.8" hidden="false" customHeight="false" outlineLevel="0" collapsed="false">
      <c r="A249" s="16" t="str">
        <f aca="false">RIGHT('1. Elec Ref Grid'!A107,LEN('1. Elec Ref Grid'!A107)-FIND("-",'1. Elec Ref Grid'!A107))</f>
        <v>LV00</v>
      </c>
      <c r="B249" s="12" t="str">
        <f aca="false">LEFT('1. Elec Ref Grid'!A107,FIND("-",'1. Elec Ref Grid'!A107)-1)</f>
        <v>LT00</v>
      </c>
      <c r="C249" s="1" t="s">
        <v>547</v>
      </c>
      <c r="D249" s="1" t="s">
        <v>548</v>
      </c>
      <c r="E249" s="1" t="n">
        <f aca="false">'1. Elec Ref Grid'!B108</f>
        <v>700</v>
      </c>
    </row>
    <row r="250" customFormat="false" ht="13.8" hidden="false" customHeight="false" outlineLevel="0" collapsed="false">
      <c r="A250" s="16" t="str">
        <f aca="false">RIGHT('1. Elec Ref Grid'!A108,LEN('1. Elec Ref Grid'!A108)-FIND("-",'1. Elec Ref Grid'!A108))</f>
        <v>PL00</v>
      </c>
      <c r="B250" s="12" t="str">
        <f aca="false">LEFT('1. Elec Ref Grid'!A108,FIND("-",'1. Elec Ref Grid'!A108)-1)</f>
        <v>LT00</v>
      </c>
      <c r="C250" s="1" t="s">
        <v>547</v>
      </c>
      <c r="D250" s="1" t="s">
        <v>548</v>
      </c>
      <c r="E250" s="1" t="n">
        <f aca="false">'1. Elec Ref Grid'!B109</f>
        <v>700</v>
      </c>
    </row>
    <row r="251" customFormat="false" ht="13.8" hidden="false" customHeight="false" outlineLevel="0" collapsed="false">
      <c r="A251" s="16" t="str">
        <f aca="false">RIGHT('1. Elec Ref Grid'!A109,LEN('1. Elec Ref Grid'!A109)-FIND("-",'1. Elec Ref Grid'!A109))</f>
        <v>SE04</v>
      </c>
      <c r="B251" s="12" t="str">
        <f aca="false">LEFT('1. Elec Ref Grid'!A109,FIND("-",'1. Elec Ref Grid'!A109)-1)</f>
        <v>LT00</v>
      </c>
      <c r="C251" s="1" t="s">
        <v>547</v>
      </c>
      <c r="D251" s="1" t="s">
        <v>548</v>
      </c>
      <c r="E251" s="1" t="n">
        <f aca="false">'1. Elec Ref Grid'!B110</f>
        <v>500</v>
      </c>
    </row>
    <row r="252" customFormat="false" ht="13.8" hidden="false" customHeight="false" outlineLevel="0" collapsed="false">
      <c r="A252" s="16" t="str">
        <f aca="false">RIGHT('1. Elec Ref Grid'!A110,LEN('1. Elec Ref Grid'!A110)-FIND("-",'1. Elec Ref Grid'!A110))</f>
        <v>TN00</v>
      </c>
      <c r="B252" s="12" t="str">
        <f aca="false">LEFT('1. Elec Ref Grid'!A110,FIND("-",'1. Elec Ref Grid'!A110)-1)</f>
        <v>LY00</v>
      </c>
      <c r="C252" s="1" t="s">
        <v>547</v>
      </c>
      <c r="D252" s="1" t="s">
        <v>548</v>
      </c>
      <c r="E252" s="1" t="n">
        <f aca="false">'1. Elec Ref Grid'!B111</f>
        <v>540</v>
      </c>
    </row>
    <row r="253" customFormat="false" ht="13.8" hidden="false" customHeight="false" outlineLevel="0" collapsed="false">
      <c r="A253" s="16" t="str">
        <f aca="false">RIGHT('1. Elec Ref Grid'!A111,LEN('1. Elec Ref Grid'!A111)-FIND("-",'1. Elec Ref Grid'!A111))</f>
        <v>RS00</v>
      </c>
      <c r="B253" s="12" t="str">
        <f aca="false">LEFT('1. Elec Ref Grid'!A111,FIND("-",'1. Elec Ref Grid'!A111)-1)</f>
        <v>ME00</v>
      </c>
      <c r="C253" s="1" t="s">
        <v>547</v>
      </c>
      <c r="D253" s="1" t="s">
        <v>548</v>
      </c>
      <c r="E253" s="1" t="n">
        <f aca="false">'1. Elec Ref Grid'!B112</f>
        <v>460</v>
      </c>
    </row>
    <row r="254" customFormat="false" ht="13.8" hidden="false" customHeight="false" outlineLevel="0" collapsed="false">
      <c r="A254" s="16" t="str">
        <f aca="false">RIGHT('1. Elec Ref Grid'!A112,LEN('1. Elec Ref Grid'!A112)-FIND("-",'1. Elec Ref Grid'!A112))</f>
        <v>RS00</v>
      </c>
      <c r="B254" s="12" t="str">
        <f aca="false">LEFT('1. Elec Ref Grid'!A112,FIND("-",'1. Elec Ref Grid'!A112)-1)</f>
        <v>MK00</v>
      </c>
      <c r="C254" s="1" t="s">
        <v>547</v>
      </c>
      <c r="D254" s="1" t="s">
        <v>548</v>
      </c>
      <c r="E254" s="1" t="n">
        <f aca="false">'1. Elec Ref Grid'!B113</f>
        <v>700</v>
      </c>
    </row>
    <row r="255" customFormat="false" ht="13.8" hidden="false" customHeight="false" outlineLevel="0" collapsed="false">
      <c r="A255" s="16" t="str">
        <f aca="false">RIGHT('1. Elec Ref Grid'!A113,LEN('1. Elec Ref Grid'!A113)-FIND("-",'1. Elec Ref Grid'!A113))</f>
        <v>NOS0</v>
      </c>
      <c r="B255" s="12" t="str">
        <f aca="false">LEFT('1. Elec Ref Grid'!A113,FIND("-",'1. Elec Ref Grid'!A113)-1)</f>
        <v>NL00</v>
      </c>
      <c r="C255" s="1" t="s">
        <v>547</v>
      </c>
      <c r="D255" s="1" t="s">
        <v>548</v>
      </c>
      <c r="E255" s="1" t="n">
        <f aca="false">'1. Elec Ref Grid'!B114</f>
        <v>1000</v>
      </c>
    </row>
    <row r="256" customFormat="false" ht="13.8" hidden="false" customHeight="false" outlineLevel="0" collapsed="false">
      <c r="A256" s="16" t="str">
        <f aca="false">RIGHT('1. Elec Ref Grid'!A114,LEN('1. Elec Ref Grid'!A114)-FIND("-",'1. Elec Ref Grid'!A114))</f>
        <v>UK00</v>
      </c>
      <c r="B256" s="12" t="str">
        <f aca="false">LEFT('1. Elec Ref Grid'!A114,FIND("-",'1. Elec Ref Grid'!A114)-1)</f>
        <v>NL00</v>
      </c>
      <c r="C256" s="1" t="s">
        <v>547</v>
      </c>
      <c r="D256" s="1" t="s">
        <v>548</v>
      </c>
      <c r="E256" s="1" t="n">
        <f aca="false">'1. Elec Ref Grid'!B115</f>
        <v>350</v>
      </c>
    </row>
    <row r="257" customFormat="false" ht="13.8" hidden="false" customHeight="false" outlineLevel="0" collapsed="false">
      <c r="A257" s="16" t="str">
        <f aca="false">RIGHT('1. Elec Ref Grid'!A115,LEN('1. Elec Ref Grid'!A115)-FIND("-",'1. Elec Ref Grid'!A115))</f>
        <v>NON1</v>
      </c>
      <c r="B257" s="12" t="str">
        <f aca="false">LEFT('1. Elec Ref Grid'!A115,FIND("-",'1. Elec Ref Grid'!A115)-1)</f>
        <v>NOM1</v>
      </c>
      <c r="C257" s="1" t="s">
        <v>547</v>
      </c>
      <c r="D257" s="1" t="s">
        <v>548</v>
      </c>
      <c r="E257" s="1" t="n">
        <f aca="false">'1. Elec Ref Grid'!B116</f>
        <v>800</v>
      </c>
    </row>
    <row r="258" customFormat="false" ht="13.8" hidden="false" customHeight="false" outlineLevel="0" collapsed="false">
      <c r="A258" s="16" t="str">
        <f aca="false">RIGHT('1. Elec Ref Grid'!A116,LEN('1. Elec Ref Grid'!A116)-FIND("-",'1. Elec Ref Grid'!A116))</f>
        <v>NOS0</v>
      </c>
      <c r="B258" s="12" t="str">
        <f aca="false">LEFT('1. Elec Ref Grid'!A116,FIND("-",'1. Elec Ref Grid'!A116)-1)</f>
        <v>NOM1</v>
      </c>
      <c r="C258" s="1" t="s">
        <v>547</v>
      </c>
      <c r="D258" s="1" t="s">
        <v>548</v>
      </c>
      <c r="E258" s="1" t="n">
        <f aca="false">'1. Elec Ref Grid'!B117</f>
        <v>600</v>
      </c>
    </row>
    <row r="259" customFormat="false" ht="13.8" hidden="false" customHeight="false" outlineLevel="0" collapsed="false">
      <c r="A259" s="16" t="str">
        <f aca="false">RIGHT('1. Elec Ref Grid'!A117,LEN('1. Elec Ref Grid'!A117)-FIND("-",'1. Elec Ref Grid'!A117))</f>
        <v>SE02</v>
      </c>
      <c r="B259" s="12" t="str">
        <f aca="false">LEFT('1. Elec Ref Grid'!A117,FIND("-",'1. Elec Ref Grid'!A117)-1)</f>
        <v>NOM1</v>
      </c>
      <c r="C259" s="1" t="s">
        <v>547</v>
      </c>
      <c r="D259" s="1" t="s">
        <v>548</v>
      </c>
      <c r="E259" s="1" t="n">
        <f aca="false">'1. Elec Ref Grid'!B118</f>
        <v>700</v>
      </c>
    </row>
    <row r="260" customFormat="false" ht="13.8" hidden="false" customHeight="false" outlineLevel="0" collapsed="false">
      <c r="A260" s="16" t="str">
        <f aca="false">RIGHT('1. Elec Ref Grid'!A118,LEN('1. Elec Ref Grid'!A118)-FIND("-",'1. Elec Ref Grid'!A118))</f>
        <v>SE01</v>
      </c>
      <c r="B260" s="12" t="str">
        <f aca="false">LEFT('1. Elec Ref Grid'!A118,FIND("-",'1. Elec Ref Grid'!A118)-1)</f>
        <v>NON1</v>
      </c>
      <c r="C260" s="1" t="s">
        <v>547</v>
      </c>
      <c r="D260" s="1" t="s">
        <v>548</v>
      </c>
      <c r="E260" s="1" t="n">
        <f aca="false">'1. Elec Ref Grid'!B119</f>
        <v>250</v>
      </c>
    </row>
    <row r="261" customFormat="false" ht="13.8" hidden="false" customHeight="false" outlineLevel="0" collapsed="false">
      <c r="A261" s="16" t="str">
        <f aca="false">RIGHT('1. Elec Ref Grid'!A119,LEN('1. Elec Ref Grid'!A119)-FIND("-",'1. Elec Ref Grid'!A119))</f>
        <v>SE02</v>
      </c>
      <c r="B261" s="12" t="str">
        <f aca="false">LEFT('1. Elec Ref Grid'!A119,FIND("-",'1. Elec Ref Grid'!A119)-1)</f>
        <v>NON1</v>
      </c>
      <c r="C261" s="1" t="s">
        <v>547</v>
      </c>
      <c r="D261" s="1" t="s">
        <v>548</v>
      </c>
      <c r="E261" s="1" t="n">
        <f aca="false">'1. Elec Ref Grid'!B120</f>
        <v>2145</v>
      </c>
    </row>
    <row r="262" customFormat="false" ht="13.8" hidden="false" customHeight="false" outlineLevel="0" collapsed="false">
      <c r="A262" s="16" t="str">
        <f aca="false">RIGHT('1. Elec Ref Grid'!A120,LEN('1. Elec Ref Grid'!A120)-FIND("-",'1. Elec Ref Grid'!A120))</f>
        <v>SE03</v>
      </c>
      <c r="B262" s="12" t="str">
        <f aca="false">LEFT('1. Elec Ref Grid'!A120,FIND("-",'1. Elec Ref Grid'!A120)-1)</f>
        <v>NOS0</v>
      </c>
      <c r="C262" s="1" t="s">
        <v>547</v>
      </c>
      <c r="D262" s="1" t="s">
        <v>548</v>
      </c>
      <c r="E262" s="1" t="n">
        <f aca="false">'1. Elec Ref Grid'!B121</f>
        <v>800</v>
      </c>
    </row>
    <row r="263" customFormat="false" ht="13.8" hidden="false" customHeight="false" outlineLevel="0" collapsed="false">
      <c r="A263" s="16" t="str">
        <f aca="false">RIGHT('1. Elec Ref Grid'!A121,LEN('1. Elec Ref Grid'!A121)-FIND("-",'1. Elec Ref Grid'!A121))</f>
        <v>CZ00</v>
      </c>
      <c r="B263" s="12" t="str">
        <f aca="false">LEFT('1. Elec Ref Grid'!A121,FIND("-",'1. Elec Ref Grid'!A121)-1)</f>
        <v>PL00E</v>
      </c>
      <c r="C263" s="1" t="s">
        <v>547</v>
      </c>
      <c r="D263" s="1" t="s">
        <v>548</v>
      </c>
      <c r="E263" s="1" t="n">
        <f aca="false">'1. Elec Ref Grid'!B122</f>
        <v>3000</v>
      </c>
    </row>
    <row r="264" customFormat="false" ht="13.8" hidden="false" customHeight="false" outlineLevel="0" collapsed="false">
      <c r="A264" s="16" t="str">
        <f aca="false">RIGHT('1. Elec Ref Grid'!A122,LEN('1. Elec Ref Grid'!A122)-FIND("-",'1. Elec Ref Grid'!A122))</f>
        <v>DE00</v>
      </c>
      <c r="B264" s="12" t="str">
        <f aca="false">LEFT('1. Elec Ref Grid'!A122,FIND("-",'1. Elec Ref Grid'!A122)-1)</f>
        <v>PL00E</v>
      </c>
      <c r="C264" s="1" t="s">
        <v>547</v>
      </c>
      <c r="D264" s="1" t="s">
        <v>548</v>
      </c>
      <c r="E264" s="1" t="n">
        <f aca="false">'1. Elec Ref Grid'!B123</f>
        <v>781</v>
      </c>
    </row>
    <row r="265" customFormat="false" ht="13.8" hidden="false" customHeight="false" outlineLevel="0" collapsed="false">
      <c r="A265" s="16" t="str">
        <f aca="false">RIGHT('1. Elec Ref Grid'!A123,LEN('1. Elec Ref Grid'!A123)-FIND("-",'1. Elec Ref Grid'!A123))</f>
        <v>SK00</v>
      </c>
      <c r="B265" s="12" t="str">
        <f aca="false">LEFT('1. Elec Ref Grid'!A123,FIND("-",'1. Elec Ref Grid'!A123)-1)</f>
        <v>PL00E</v>
      </c>
      <c r="C265" s="1" t="s">
        <v>547</v>
      </c>
      <c r="D265" s="1" t="s">
        <v>548</v>
      </c>
      <c r="E265" s="1" t="n">
        <f aca="false">'1. Elec Ref Grid'!B124</f>
        <v>3000</v>
      </c>
    </row>
    <row r="266" customFormat="false" ht="13.8" hidden="false" customHeight="false" outlineLevel="0" collapsed="false">
      <c r="A266" s="16" t="str">
        <f aca="false">RIGHT('1. Elec Ref Grid'!A124,LEN('1. Elec Ref Grid'!A124)-FIND("-",'1. Elec Ref Grid'!A124))</f>
        <v>PL00</v>
      </c>
      <c r="B266" s="12" t="str">
        <f aca="false">LEFT('1. Elec Ref Grid'!A124,FIND("-",'1. Elec Ref Grid'!A124)-1)</f>
        <v>PL00I</v>
      </c>
      <c r="C266" s="1" t="s">
        <v>547</v>
      </c>
      <c r="D266" s="1" t="s">
        <v>548</v>
      </c>
      <c r="E266" s="1" t="n">
        <f aca="false">'1. Elec Ref Grid'!B125</f>
        <v>3000</v>
      </c>
    </row>
    <row r="267" customFormat="false" ht="13.8" hidden="false" customHeight="false" outlineLevel="0" collapsed="false">
      <c r="A267" s="16" t="str">
        <f aca="false">RIGHT('1. Elec Ref Grid'!A125,LEN('1. Elec Ref Grid'!A125)-FIND("-",'1. Elec Ref Grid'!A125))</f>
        <v>PL00E</v>
      </c>
      <c r="B267" s="12" t="str">
        <f aca="false">LEFT('1. Elec Ref Grid'!A125,FIND("-",'1. Elec Ref Grid'!A125)-1)</f>
        <v>PL00</v>
      </c>
      <c r="C267" s="1" t="s">
        <v>547</v>
      </c>
      <c r="D267" s="1" t="s">
        <v>548</v>
      </c>
      <c r="E267" s="1" t="n">
        <f aca="false">'1. Elec Ref Grid'!B126</f>
        <v>600</v>
      </c>
    </row>
    <row r="268" customFormat="false" ht="13.8" hidden="false" customHeight="false" outlineLevel="0" collapsed="false">
      <c r="A268" s="16" t="str">
        <f aca="false">RIGHT('1. Elec Ref Grid'!A126,LEN('1. Elec Ref Grid'!A126)-FIND("-",'1. Elec Ref Grid'!A126))</f>
        <v>SE04</v>
      </c>
      <c r="B268" s="12" t="str">
        <f aca="false">LEFT('1. Elec Ref Grid'!A126,FIND("-",'1. Elec Ref Grid'!A126)-1)</f>
        <v>PL00</v>
      </c>
      <c r="C268" s="1" t="s">
        <v>547</v>
      </c>
      <c r="D268" s="1" t="s">
        <v>548</v>
      </c>
      <c r="E268" s="1" t="n">
        <f aca="false">'1. Elec Ref Grid'!B127</f>
        <v>1984</v>
      </c>
    </row>
    <row r="269" customFormat="false" ht="13.8" hidden="false" customHeight="false" outlineLevel="0" collapsed="false">
      <c r="A269" s="16" t="str">
        <f aca="false">RIGHT('1. Elec Ref Grid'!A127,LEN('1. Elec Ref Grid'!A127)-FIND("-",'1. Elec Ref Grid'!A127))</f>
        <v>RS00</v>
      </c>
      <c r="B269" s="12" t="str">
        <f aca="false">LEFT('1. Elec Ref Grid'!A127,FIND("-",'1. Elec Ref Grid'!A127)-1)</f>
        <v>RO00</v>
      </c>
      <c r="C269" s="1" t="s">
        <v>547</v>
      </c>
      <c r="D269" s="1" t="s">
        <v>548</v>
      </c>
      <c r="E269" s="1" t="n">
        <f aca="false">'1. Elec Ref Grid'!B128</f>
        <v>150</v>
      </c>
    </row>
    <row r="270" customFormat="false" ht="13.8" hidden="false" customHeight="false" outlineLevel="0" collapsed="false">
      <c r="A270" s="16" t="str">
        <f aca="false">RIGHT('1. Elec Ref Grid'!A128,LEN('1. Elec Ref Grid'!A128)-FIND("-",'1. Elec Ref Grid'!A128))</f>
        <v>UA01</v>
      </c>
      <c r="B270" s="12" t="str">
        <f aca="false">LEFT('1. Elec Ref Grid'!A128,FIND("-",'1. Elec Ref Grid'!A128)-1)</f>
        <v>RO00</v>
      </c>
      <c r="C270" s="1" t="s">
        <v>547</v>
      </c>
      <c r="D270" s="1" t="s">
        <v>548</v>
      </c>
      <c r="E270" s="1" t="n">
        <f aca="false">'1. Elec Ref Grid'!B129</f>
        <v>3300</v>
      </c>
    </row>
    <row r="271" customFormat="false" ht="13.8" hidden="false" customHeight="false" outlineLevel="0" collapsed="false">
      <c r="A271" s="16" t="str">
        <f aca="false">RIGHT('1. Elec Ref Grid'!A129,LEN('1. Elec Ref Grid'!A129)-FIND("-",'1. Elec Ref Grid'!A129))</f>
        <v>SE02</v>
      </c>
      <c r="B271" s="12" t="str">
        <f aca="false">LEFT('1. Elec Ref Grid'!A129,FIND("-",'1. Elec Ref Grid'!A129)-1)</f>
        <v>SE01</v>
      </c>
      <c r="C271" s="1" t="s">
        <v>547</v>
      </c>
      <c r="D271" s="1" t="s">
        <v>548</v>
      </c>
      <c r="E271" s="1" t="n">
        <f aca="false">'1. Elec Ref Grid'!B130</f>
        <v>7300</v>
      </c>
    </row>
    <row r="272" customFormat="false" ht="13.8" hidden="false" customHeight="false" outlineLevel="0" collapsed="false">
      <c r="A272" s="16" t="str">
        <f aca="false">RIGHT('1. Elec Ref Grid'!A130,LEN('1. Elec Ref Grid'!A130)-FIND("-",'1. Elec Ref Grid'!A130))</f>
        <v>SE03</v>
      </c>
      <c r="B272" s="12" t="str">
        <f aca="false">LEFT('1. Elec Ref Grid'!A130,FIND("-",'1. Elec Ref Grid'!A130)-1)</f>
        <v>SE02</v>
      </c>
      <c r="C272" s="1" t="s">
        <v>547</v>
      </c>
      <c r="D272" s="1" t="s">
        <v>548</v>
      </c>
      <c r="E272" s="1" t="n">
        <f aca="false">'1. Elec Ref Grid'!B131</f>
        <v>6200</v>
      </c>
    </row>
    <row r="273" customFormat="false" ht="13.8" hidden="false" customHeight="false" outlineLevel="0" collapsed="false">
      <c r="A273" s="16" t="str">
        <f aca="false">RIGHT('1. Elec Ref Grid'!A131,LEN('1. Elec Ref Grid'!A131)-FIND("-",'1. Elec Ref Grid'!A131))</f>
        <v>SE04</v>
      </c>
      <c r="B273" s="12" t="str">
        <f aca="false">LEFT('1. Elec Ref Grid'!A131,FIND("-",'1. Elec Ref Grid'!A131)-1)</f>
        <v>SE03</v>
      </c>
      <c r="C273" s="1" t="s">
        <v>547</v>
      </c>
      <c r="D273" s="1" t="s">
        <v>548</v>
      </c>
      <c r="E273" s="1" t="n">
        <f aca="false">'1. Elec Ref Grid'!B132</f>
        <v>818</v>
      </c>
    </row>
    <row r="274" customFormat="false" ht="13.8" hidden="false" customHeight="false" outlineLevel="0" collapsed="false">
      <c r="A274" s="16" t="str">
        <f aca="false">RIGHT('1. Elec Ref Grid'!A132,LEN('1. Elec Ref Grid'!A132)-FIND("-",'1. Elec Ref Grid'!A132))</f>
        <v>PL00I</v>
      </c>
      <c r="B274" s="12" t="str">
        <f aca="false">LEFT('1. Elec Ref Grid'!A132,FIND("-",'1. Elec Ref Grid'!A132)-1)</f>
        <v>SK00</v>
      </c>
      <c r="C274" s="1" t="s">
        <v>547</v>
      </c>
      <c r="D274" s="1" t="s">
        <v>548</v>
      </c>
      <c r="E274" s="1" t="n">
        <f aca="false">'1. Elec Ref Grid'!B133</f>
        <v>495</v>
      </c>
    </row>
    <row r="275" customFormat="false" ht="13.8" hidden="false" customHeight="false" outlineLevel="0" collapsed="false">
      <c r="A275" s="16" t="str">
        <f aca="false">RIGHT('1. Elec Ref Grid'!A133,LEN('1. Elec Ref Grid'!A133)-FIND("-",'1. Elec Ref Grid'!A133))</f>
        <v>UA01</v>
      </c>
      <c r="B275" s="12" t="str">
        <f aca="false">LEFT('1. Elec Ref Grid'!A133,FIND("-",'1. Elec Ref Grid'!A133)-1)</f>
        <v>SK00</v>
      </c>
      <c r="C275" s="1" t="s">
        <v>547</v>
      </c>
      <c r="D275" s="1" t="s">
        <v>548</v>
      </c>
      <c r="E275" s="1" t="n">
        <f aca="false">'1. Elec Ref Grid'!B134</f>
        <v>1400</v>
      </c>
    </row>
    <row r="276" customFormat="false" ht="13.8" hidden="false" customHeight="false" outlineLevel="0" collapsed="false">
      <c r="A276" s="16" t="str">
        <f aca="false">RIGHT('1. Elec Ref Grid'!A134,LEN('1. Elec Ref Grid'!A134)-FIND("-",'1. Elec Ref Grid'!A134))</f>
        <v>NOS0</v>
      </c>
      <c r="B276" s="12" t="str">
        <f aca="false">LEFT('1. Elec Ref Grid'!A134,FIND("-",'1. Elec Ref Grid'!A134)-1)</f>
        <v>UK00</v>
      </c>
      <c r="C276" s="1" t="s">
        <v>547</v>
      </c>
      <c r="D276" s="1" t="s">
        <v>548</v>
      </c>
      <c r="E276" s="1" t="n">
        <f aca="false">'1. Elec Ref Grid'!B135</f>
        <v>450</v>
      </c>
    </row>
    <row r="277" customFormat="false" ht="13.8" hidden="false" customHeight="false" outlineLevel="0" collapsed="false">
      <c r="A277" s="16" t="str">
        <f aca="false">RIGHT('1. Elec Ref Grid'!A135,LEN('1. Elec Ref Grid'!A135)-FIND("-",'1. Elec Ref Grid'!A135))</f>
        <v>UKNI</v>
      </c>
      <c r="B277" s="12" t="str">
        <f aca="false">LEFT('1. Elec Ref Grid'!A135,FIND("-",'1. Elec Ref Grid'!A135)-1)</f>
        <v>UK00</v>
      </c>
      <c r="C277" s="1" t="s">
        <v>547</v>
      </c>
      <c r="D277" s="1" t="s">
        <v>548</v>
      </c>
      <c r="E277" s="1" t="n">
        <f aca="false">'1. Elec Ref Grid'!B136</f>
        <v>480</v>
      </c>
    </row>
    <row r="278" customFormat="false" ht="13.8" hidden="false" customHeight="false" outlineLevel="0" collapsed="false">
      <c r="A278" s="16" t="str">
        <f aca="false">RIGHT('1. Elec Ref Grid'!A136,LEN('1. Elec Ref Grid'!A136)-FIND("-",'1. Elec Ref Grid'!A136))</f>
        <v>RO00</v>
      </c>
      <c r="B278" s="12" t="str">
        <f aca="false">LEFT('1. Elec Ref Grid'!A136,FIND("-",'1. Elec Ref Grid'!A136)-1)</f>
        <v>MD00</v>
      </c>
      <c r="C278" s="1" t="s">
        <v>547</v>
      </c>
      <c r="D278" s="1" t="s">
        <v>548</v>
      </c>
      <c r="E278" s="1" t="n">
        <f aca="false">'1. Elec Ref Grid'!B137</f>
        <v>2000</v>
      </c>
    </row>
    <row r="279" customFormat="false" ht="13.8" hidden="false" customHeight="false" outlineLevel="0" collapsed="false">
      <c r="A279" s="16" t="str">
        <f aca="false">RIGHT('1. Elec Ref Grid'!A137,LEN('1. Elec Ref Grid'!A137)-FIND("-",'1. Elec Ref Grid'!A137))</f>
        <v>ITN1</v>
      </c>
      <c r="B279" s="12" t="str">
        <f aca="false">LEFT('1. Elec Ref Grid'!A137,FIND("-",'1. Elec Ref Grid'!A137)-1)</f>
        <v>ITCS</v>
      </c>
      <c r="C279" s="1" t="s">
        <v>547</v>
      </c>
      <c r="D279" s="1" t="s">
        <v>548</v>
      </c>
      <c r="E279" s="1" t="n">
        <f aca="false">'1. Elec Ref Grid'!B138</f>
        <v>0</v>
      </c>
    </row>
    <row r="280" customFormat="false" ht="13.8" hidden="false" customHeight="false" outlineLevel="0" collapsed="false">
      <c r="A280" s="16" t="str">
        <f aca="false">RIGHT('1. Elec Ref Grid'!A138,LEN('1. Elec Ref Grid'!A138)-FIND("-",'1. Elec Ref Grid'!A138))</f>
        <v>GR03</v>
      </c>
      <c r="B280" s="12" t="str">
        <f aca="false">LEFT('1. Elec Ref Grid'!A138,FIND("-",'1. Elec Ref Grid'!A138)-1)</f>
        <v>EG00</v>
      </c>
      <c r="C280" s="1" t="s">
        <v>547</v>
      </c>
      <c r="D280" s="1" t="s">
        <v>548</v>
      </c>
      <c r="E280" s="1" t="n">
        <f aca="false">'1. Elec Ref Grid'!B139</f>
        <v>1000</v>
      </c>
    </row>
    <row r="281" customFormat="false" ht="13.8" hidden="false" customHeight="false" outlineLevel="0" collapsed="false">
      <c r="A281" s="16" t="str">
        <f aca="false">RIGHT('1. Elec Ref Grid'!A139,LEN('1. Elec Ref Grid'!A139)-FIND("-",'1. Elec Ref Grid'!A139))</f>
        <v>UA00</v>
      </c>
      <c r="B281" s="12" t="str">
        <f aca="false">LEFT('1. Elec Ref Grid'!A139,FIND("-",'1. Elec Ref Grid'!A139)-1)</f>
        <v>HU00</v>
      </c>
      <c r="C281" s="1" t="s">
        <v>547</v>
      </c>
      <c r="D281" s="1" t="s">
        <v>548</v>
      </c>
      <c r="E281" s="1" t="n">
        <f aca="false">'1. Elec Ref Grid'!B140</f>
        <v>500</v>
      </c>
    </row>
    <row r="282" customFormat="false" ht="13.8" hidden="false" customHeight="false" outlineLevel="0" collapsed="false">
      <c r="A282" s="16" t="str">
        <f aca="false">RIGHT('1. Elec Ref Grid'!A140,LEN('1. Elec Ref Grid'!A140)-FIND("-",'1. Elec Ref Grid'!A140))</f>
        <v>UA00</v>
      </c>
      <c r="B282" s="12" t="str">
        <f aca="false">LEFT('1. Elec Ref Grid'!A140,FIND("-",'1. Elec Ref Grid'!A140)-1)</f>
        <v>PL00</v>
      </c>
      <c r="C282" s="1" t="s">
        <v>547</v>
      </c>
      <c r="D282" s="1" t="s">
        <v>548</v>
      </c>
      <c r="E282" s="1" t="n">
        <f aca="false">'1. Elec Ref Grid'!B141</f>
        <v>800</v>
      </c>
    </row>
    <row r="283" customFormat="false" ht="13.8" hidden="false" customHeight="false" outlineLevel="0" collapsed="false">
      <c r="A283" s="16" t="str">
        <f aca="false">RIGHT('1. Elec Ref Grid'!A141,LEN('1. Elec Ref Grid'!A141)-FIND("-",'1. Elec Ref Grid'!A141))</f>
        <v>UA00</v>
      </c>
      <c r="B283" s="12" t="str">
        <f aca="false">LEFT('1. Elec Ref Grid'!A141,FIND("-",'1. Elec Ref Grid'!A141)-1)</f>
        <v>RO00</v>
      </c>
      <c r="C283" s="1" t="s">
        <v>547</v>
      </c>
      <c r="D283" s="1" t="s">
        <v>548</v>
      </c>
      <c r="E283" s="1" t="n">
        <f aca="false">'1. Elec Ref Grid'!B142</f>
        <v>400</v>
      </c>
    </row>
    <row r="284" customFormat="false" ht="13.8" hidden="false" customHeight="false" outlineLevel="0" collapsed="false">
      <c r="A284" s="16" t="str">
        <f aca="false">RIGHT('1. Elec Ref Grid'!A142,LEN('1. Elec Ref Grid'!A142)-FIND("-",'1. Elec Ref Grid'!A142))</f>
        <v>UA00</v>
      </c>
      <c r="B284" s="12" t="str">
        <f aca="false">LEFT('1. Elec Ref Grid'!A142,FIND("-",'1. Elec Ref Grid'!A142)-1)</f>
        <v>SK00</v>
      </c>
      <c r="C284" s="1" t="s">
        <v>547</v>
      </c>
      <c r="D284" s="1" t="s">
        <v>548</v>
      </c>
      <c r="E284" s="1" t="n">
        <f aca="false">'1. Elec Ref Grid'!B143</f>
        <v>600</v>
      </c>
    </row>
    <row r="285" customFormat="false" ht="13.8" hidden="false" customHeight="false" outlineLevel="0" collapsed="false">
      <c r="A285" s="16" t="str">
        <f aca="false">RIGHT('1. Elec Ref Grid'!A143,LEN('1. Elec Ref Grid'!A143)-FIND("-",'1. Elec Ref Grid'!A143))</f>
        <v>UA00</v>
      </c>
      <c r="B285" s="12" t="str">
        <f aca="false">LEFT('1. Elec Ref Grid'!A143,FIND("-",'1. Elec Ref Grid'!A143)-1)</f>
        <v>MD00</v>
      </c>
      <c r="C285" s="1" t="s">
        <v>547</v>
      </c>
      <c r="D285" s="1" t="s">
        <v>548</v>
      </c>
      <c r="E285" s="1" t="n">
        <f aca="false">'1. Elec Ref Grid'!B144</f>
        <v>0</v>
      </c>
    </row>
    <row r="286" customFormat="false" ht="13.8" hidden="false" customHeight="false" outlineLevel="0" collapsed="false">
      <c r="A286" s="9" t="s">
        <v>198</v>
      </c>
      <c r="B286" s="9" t="s">
        <v>199</v>
      </c>
      <c r="C286" s="1" t="s">
        <v>549</v>
      </c>
      <c r="D286" s="1" t="s">
        <v>548</v>
      </c>
      <c r="E286" s="9" t="n">
        <v>500</v>
      </c>
      <c r="G286" s="12"/>
      <c r="H286" s="12"/>
    </row>
    <row r="287" customFormat="false" ht="13.8" hidden="false" customHeight="false" outlineLevel="0" collapsed="false">
      <c r="A287" s="9" t="s">
        <v>198</v>
      </c>
      <c r="B287" s="9" t="s">
        <v>203</v>
      </c>
      <c r="C287" s="1" t="s">
        <v>549</v>
      </c>
      <c r="D287" s="1" t="s">
        <v>548</v>
      </c>
      <c r="E287" s="9" t="n">
        <v>500</v>
      </c>
      <c r="G287" s="12"/>
      <c r="H287" s="12"/>
    </row>
    <row r="288" customFormat="false" ht="13.8" hidden="false" customHeight="false" outlineLevel="0" collapsed="false">
      <c r="A288" s="9" t="s">
        <v>205</v>
      </c>
      <c r="B288" s="9" t="s">
        <v>208</v>
      </c>
      <c r="C288" s="1" t="s">
        <v>549</v>
      </c>
      <c r="D288" s="1" t="s">
        <v>548</v>
      </c>
      <c r="E288" s="9" t="n">
        <v>1000</v>
      </c>
      <c r="G288" s="12"/>
      <c r="H288" s="12"/>
    </row>
    <row r="289" customFormat="false" ht="13.8" hidden="false" customHeight="false" outlineLevel="0" collapsed="false">
      <c r="A289" s="9" t="s">
        <v>205</v>
      </c>
      <c r="B289" s="9" t="s">
        <v>212</v>
      </c>
      <c r="C289" s="1" t="s">
        <v>549</v>
      </c>
      <c r="D289" s="1" t="s">
        <v>548</v>
      </c>
      <c r="E289" s="9" t="n">
        <v>1000</v>
      </c>
      <c r="G289" s="12"/>
      <c r="H289" s="12"/>
    </row>
    <row r="290" customFormat="false" ht="13.8" hidden="false" customHeight="false" outlineLevel="0" collapsed="false">
      <c r="A290" s="9" t="s">
        <v>205</v>
      </c>
      <c r="B290" s="9" t="s">
        <v>212</v>
      </c>
      <c r="C290" s="1" t="s">
        <v>549</v>
      </c>
      <c r="D290" s="1" t="s">
        <v>548</v>
      </c>
      <c r="E290" s="9" t="n">
        <v>1000</v>
      </c>
      <c r="G290" s="12"/>
      <c r="H290" s="12"/>
    </row>
    <row r="291" customFormat="false" ht="13.8" hidden="false" customHeight="false" outlineLevel="0" collapsed="false">
      <c r="A291" s="9" t="s">
        <v>205</v>
      </c>
      <c r="B291" s="9" t="s">
        <v>215</v>
      </c>
      <c r="C291" s="1" t="s">
        <v>549</v>
      </c>
      <c r="D291" s="1" t="s">
        <v>548</v>
      </c>
      <c r="E291" s="9" t="n">
        <v>1400</v>
      </c>
      <c r="G291" s="12"/>
      <c r="H291" s="12"/>
    </row>
    <row r="292" customFormat="false" ht="13.8" hidden="false" customHeight="false" outlineLevel="0" collapsed="false">
      <c r="A292" s="9" t="s">
        <v>220</v>
      </c>
      <c r="B292" s="9" t="s">
        <v>206</v>
      </c>
      <c r="C292" s="1" t="s">
        <v>549</v>
      </c>
      <c r="D292" s="1" t="s">
        <v>548</v>
      </c>
      <c r="E292" s="9" t="n">
        <v>200</v>
      </c>
      <c r="G292" s="12"/>
      <c r="H292" s="12"/>
    </row>
    <row r="293" customFormat="false" ht="13.8" hidden="false" customHeight="false" outlineLevel="0" collapsed="false">
      <c r="A293" s="9" t="s">
        <v>220</v>
      </c>
      <c r="B293" s="9" t="s">
        <v>206</v>
      </c>
      <c r="C293" s="1" t="s">
        <v>549</v>
      </c>
      <c r="D293" s="1" t="s">
        <v>548</v>
      </c>
      <c r="E293" s="9" t="n">
        <v>100</v>
      </c>
      <c r="G293" s="12"/>
      <c r="H293" s="12"/>
    </row>
    <row r="294" customFormat="false" ht="13.8" hidden="false" customHeight="false" outlineLevel="0" collapsed="false">
      <c r="A294" s="9" t="s">
        <v>220</v>
      </c>
      <c r="B294" s="9" t="s">
        <v>199</v>
      </c>
      <c r="C294" s="1" t="s">
        <v>549</v>
      </c>
      <c r="D294" s="1" t="s">
        <v>548</v>
      </c>
      <c r="E294" s="9" t="n">
        <v>1000</v>
      </c>
      <c r="G294" s="12"/>
      <c r="H294" s="12"/>
    </row>
    <row r="295" customFormat="false" ht="13.8" hidden="false" customHeight="false" outlineLevel="0" collapsed="false">
      <c r="A295" s="9" t="s">
        <v>206</v>
      </c>
      <c r="B295" s="9" t="s">
        <v>212</v>
      </c>
      <c r="C295" s="1" t="s">
        <v>549</v>
      </c>
      <c r="D295" s="1" t="s">
        <v>548</v>
      </c>
      <c r="E295" s="9" t="n">
        <v>1000</v>
      </c>
      <c r="G295" s="12"/>
      <c r="H295" s="12"/>
    </row>
    <row r="296" customFormat="false" ht="13.8" hidden="false" customHeight="false" outlineLevel="0" collapsed="false">
      <c r="A296" s="9" t="s">
        <v>226</v>
      </c>
      <c r="B296" s="9" t="s">
        <v>215</v>
      </c>
      <c r="C296" s="1" t="s">
        <v>549</v>
      </c>
      <c r="D296" s="1" t="s">
        <v>548</v>
      </c>
      <c r="E296" s="9" t="n">
        <v>1400</v>
      </c>
      <c r="G296" s="12"/>
      <c r="H296" s="12"/>
    </row>
    <row r="297" customFormat="false" ht="13.8" hidden="false" customHeight="false" outlineLevel="0" collapsed="false">
      <c r="A297" s="9" t="s">
        <v>228</v>
      </c>
      <c r="B297" s="9" t="s">
        <v>208</v>
      </c>
      <c r="C297" s="1" t="s">
        <v>549</v>
      </c>
      <c r="D297" s="1" t="s">
        <v>548</v>
      </c>
      <c r="E297" s="9" t="n">
        <v>1500</v>
      </c>
      <c r="G297" s="12"/>
      <c r="H297" s="12"/>
    </row>
    <row r="298" customFormat="false" ht="13.8" hidden="false" customHeight="false" outlineLevel="0" collapsed="false">
      <c r="A298" s="9" t="s">
        <v>228</v>
      </c>
      <c r="B298" s="9" t="s">
        <v>208</v>
      </c>
      <c r="C298" s="1" t="s">
        <v>549</v>
      </c>
      <c r="D298" s="1" t="s">
        <v>548</v>
      </c>
      <c r="E298" s="9" t="n">
        <v>1500</v>
      </c>
      <c r="G298" s="12"/>
      <c r="H298" s="12"/>
    </row>
    <row r="299" customFormat="false" ht="13.8" hidden="false" customHeight="false" outlineLevel="0" collapsed="false">
      <c r="A299" s="9" t="s">
        <v>208</v>
      </c>
      <c r="B299" s="9" t="s">
        <v>215</v>
      </c>
      <c r="C299" s="1" t="s">
        <v>549</v>
      </c>
      <c r="D299" s="1" t="s">
        <v>548</v>
      </c>
      <c r="E299" s="9" t="n">
        <v>1250</v>
      </c>
      <c r="G299" s="12"/>
      <c r="H299" s="12"/>
    </row>
    <row r="300" customFormat="false" ht="13.8" hidden="false" customHeight="false" outlineLevel="0" collapsed="false">
      <c r="A300" s="9" t="s">
        <v>232</v>
      </c>
      <c r="B300" s="9" t="s">
        <v>233</v>
      </c>
      <c r="C300" s="1" t="s">
        <v>549</v>
      </c>
      <c r="D300" s="1" t="s">
        <v>548</v>
      </c>
      <c r="E300" s="9" t="n">
        <v>950</v>
      </c>
      <c r="G300" s="12"/>
      <c r="H300" s="12"/>
    </row>
    <row r="301" customFormat="false" ht="13.8" hidden="false" customHeight="false" outlineLevel="0" collapsed="false">
      <c r="A301" s="9" t="s">
        <v>215</v>
      </c>
      <c r="B301" s="9" t="s">
        <v>233</v>
      </c>
      <c r="C301" s="1" t="s">
        <v>549</v>
      </c>
      <c r="D301" s="1" t="s">
        <v>548</v>
      </c>
      <c r="E301" s="9" t="n">
        <v>700</v>
      </c>
      <c r="G301" s="12"/>
      <c r="H301" s="12"/>
    </row>
    <row r="302" customFormat="false" ht="13.8" hidden="false" customHeight="false" outlineLevel="0" collapsed="false">
      <c r="A302" s="9" t="s">
        <v>236</v>
      </c>
      <c r="B302" s="9" t="s">
        <v>237</v>
      </c>
      <c r="C302" s="1" t="s">
        <v>549</v>
      </c>
      <c r="D302" s="1" t="s">
        <v>548</v>
      </c>
      <c r="E302" s="9" t="n">
        <v>998</v>
      </c>
      <c r="G302" s="12"/>
      <c r="H302" s="12"/>
    </row>
    <row r="303" customFormat="false" ht="13.8" hidden="false" customHeight="false" outlineLevel="0" collapsed="false">
      <c r="A303" s="9" t="s">
        <v>217</v>
      </c>
      <c r="B303" s="9" t="s">
        <v>239</v>
      </c>
      <c r="C303" s="1" t="s">
        <v>549</v>
      </c>
      <c r="D303" s="1" t="s">
        <v>548</v>
      </c>
      <c r="E303" s="9" t="n">
        <v>490</v>
      </c>
      <c r="G303" s="12"/>
      <c r="H303" s="12"/>
    </row>
    <row r="304" customFormat="false" ht="13.8" hidden="false" customHeight="false" outlineLevel="0" collapsed="false">
      <c r="A304" s="9" t="s">
        <v>241</v>
      </c>
      <c r="B304" s="9" t="s">
        <v>242</v>
      </c>
      <c r="C304" s="1" t="s">
        <v>549</v>
      </c>
      <c r="D304" s="1" t="s">
        <v>548</v>
      </c>
      <c r="E304" s="9" t="n">
        <v>500</v>
      </c>
      <c r="G304" s="12"/>
      <c r="H304" s="12"/>
    </row>
    <row r="305" customFormat="false" ht="13.8" hidden="false" customHeight="false" outlineLevel="0" collapsed="false">
      <c r="A305" s="9" t="s">
        <v>206</v>
      </c>
      <c r="B305" s="9" t="s">
        <v>244</v>
      </c>
      <c r="C305" s="1" t="s">
        <v>549</v>
      </c>
      <c r="D305" s="1" t="s">
        <v>548</v>
      </c>
      <c r="E305" s="9" t="n">
        <v>700</v>
      </c>
      <c r="G305" s="12"/>
      <c r="H305" s="12"/>
    </row>
    <row r="306" customFormat="false" ht="13.8" hidden="false" customHeight="false" outlineLevel="0" collapsed="false">
      <c r="A306" s="9" t="s">
        <v>206</v>
      </c>
      <c r="B306" s="9" t="s">
        <v>215</v>
      </c>
      <c r="C306" s="1" t="s">
        <v>549</v>
      </c>
      <c r="D306" s="1" t="s">
        <v>548</v>
      </c>
      <c r="E306" s="9" t="n">
        <v>1400</v>
      </c>
      <c r="G306" s="12"/>
      <c r="H306" s="12"/>
    </row>
    <row r="307" customFormat="false" ht="13.8" hidden="false" customHeight="false" outlineLevel="0" collapsed="false">
      <c r="A307" s="9" t="s">
        <v>226</v>
      </c>
      <c r="B307" s="9" t="s">
        <v>247</v>
      </c>
      <c r="C307" s="1" t="s">
        <v>549</v>
      </c>
      <c r="D307" s="1" t="s">
        <v>548</v>
      </c>
      <c r="E307" s="9" t="n">
        <v>700</v>
      </c>
      <c r="G307" s="12"/>
      <c r="H307" s="12"/>
    </row>
    <row r="308" customFormat="false" ht="13.8" hidden="false" customHeight="false" outlineLevel="0" collapsed="false">
      <c r="A308" s="9" t="s">
        <v>249</v>
      </c>
      <c r="B308" s="9" t="s">
        <v>250</v>
      </c>
      <c r="C308" s="1" t="s">
        <v>549</v>
      </c>
      <c r="D308" s="1" t="s">
        <v>548</v>
      </c>
      <c r="E308" s="9" t="n">
        <v>700</v>
      </c>
      <c r="G308" s="12"/>
      <c r="H308" s="12"/>
    </row>
    <row r="309" customFormat="false" ht="13.8" hidden="false" customHeight="false" outlineLevel="0" collapsed="false">
      <c r="A309" s="9" t="s">
        <v>249</v>
      </c>
      <c r="B309" s="9" t="s">
        <v>252</v>
      </c>
      <c r="C309" s="1" t="s">
        <v>549</v>
      </c>
      <c r="D309" s="1" t="s">
        <v>548</v>
      </c>
      <c r="E309" s="9" t="n">
        <v>1000</v>
      </c>
      <c r="G309" s="12"/>
      <c r="H309" s="12"/>
    </row>
    <row r="310" customFormat="false" ht="13.8" hidden="false" customHeight="false" outlineLevel="0" collapsed="false">
      <c r="A310" s="9" t="s">
        <v>250</v>
      </c>
      <c r="B310" s="9" t="s">
        <v>254</v>
      </c>
      <c r="C310" s="1" t="s">
        <v>549</v>
      </c>
      <c r="D310" s="1" t="s">
        <v>548</v>
      </c>
      <c r="E310" s="9" t="n">
        <v>800</v>
      </c>
      <c r="G310" s="12"/>
      <c r="H310" s="12"/>
    </row>
    <row r="311" customFormat="false" ht="13.8" hidden="false" customHeight="false" outlineLevel="0" collapsed="false">
      <c r="A311" s="9" t="s">
        <v>250</v>
      </c>
      <c r="B311" s="9" t="s">
        <v>254</v>
      </c>
      <c r="C311" s="1" t="s">
        <v>549</v>
      </c>
      <c r="D311" s="1" t="s">
        <v>548</v>
      </c>
      <c r="E311" s="9" t="n">
        <v>900</v>
      </c>
      <c r="G311" s="12"/>
      <c r="H311" s="12"/>
    </row>
    <row r="312" customFormat="false" ht="13.8" hidden="false" customHeight="false" outlineLevel="0" collapsed="false">
      <c r="A312" s="9" t="s">
        <v>258</v>
      </c>
      <c r="B312" s="9" t="s">
        <v>259</v>
      </c>
      <c r="C312" s="1" t="s">
        <v>549</v>
      </c>
      <c r="D312" s="1" t="s">
        <v>548</v>
      </c>
      <c r="E312" s="9" t="n">
        <v>1000</v>
      </c>
      <c r="G312" s="12"/>
      <c r="H312" s="12"/>
    </row>
    <row r="313" customFormat="false" ht="13.8" hidden="false" customHeight="false" outlineLevel="0" collapsed="false">
      <c r="A313" s="9" t="s">
        <v>258</v>
      </c>
      <c r="B313" s="9" t="s">
        <v>261</v>
      </c>
      <c r="C313" s="1" t="s">
        <v>549</v>
      </c>
      <c r="D313" s="1" t="s">
        <v>548</v>
      </c>
      <c r="E313" s="9" t="n">
        <v>500</v>
      </c>
      <c r="G313" s="12"/>
      <c r="H313" s="12"/>
    </row>
    <row r="314" customFormat="false" ht="13.8" hidden="false" customHeight="false" outlineLevel="0" collapsed="false">
      <c r="A314" s="9" t="s">
        <v>258</v>
      </c>
      <c r="B314" s="9" t="s">
        <v>218</v>
      </c>
      <c r="C314" s="1" t="s">
        <v>549</v>
      </c>
      <c r="D314" s="1" t="s">
        <v>548</v>
      </c>
      <c r="E314" s="9" t="n">
        <v>600</v>
      </c>
      <c r="G314" s="12"/>
      <c r="H314" s="12"/>
    </row>
    <row r="315" customFormat="false" ht="13.8" hidden="false" customHeight="false" outlineLevel="0" collapsed="false">
      <c r="A315" s="9" t="s">
        <v>265</v>
      </c>
      <c r="B315" s="9" t="s">
        <v>266</v>
      </c>
      <c r="C315" s="1" t="s">
        <v>549</v>
      </c>
      <c r="D315" s="1" t="s">
        <v>548</v>
      </c>
      <c r="E315" s="9" t="n">
        <v>1410</v>
      </c>
      <c r="G315" s="12"/>
      <c r="H315" s="12"/>
    </row>
    <row r="316" customFormat="false" ht="13.8" hidden="false" customHeight="false" outlineLevel="0" collapsed="false">
      <c r="A316" s="9" t="s">
        <v>265</v>
      </c>
      <c r="B316" s="9" t="s">
        <v>239</v>
      </c>
      <c r="C316" s="1" t="s">
        <v>549</v>
      </c>
      <c r="D316" s="1" t="s">
        <v>548</v>
      </c>
      <c r="E316" s="9" t="n">
        <v>500</v>
      </c>
      <c r="G316" s="12"/>
      <c r="H316" s="12"/>
    </row>
    <row r="317" customFormat="false" ht="13.8" hidden="false" customHeight="false" outlineLevel="0" collapsed="false">
      <c r="A317" s="9" t="s">
        <v>269</v>
      </c>
      <c r="B317" s="9" t="s">
        <v>270</v>
      </c>
      <c r="C317" s="1" t="s">
        <v>549</v>
      </c>
      <c r="D317" s="1" t="s">
        <v>548</v>
      </c>
      <c r="E317" s="9" t="n">
        <v>600</v>
      </c>
      <c r="G317" s="12"/>
      <c r="H317" s="12"/>
    </row>
    <row r="318" customFormat="false" ht="13.8" hidden="false" customHeight="false" outlineLevel="0" collapsed="false">
      <c r="A318" s="9" t="s">
        <v>272</v>
      </c>
      <c r="B318" s="9" t="s">
        <v>244</v>
      </c>
      <c r="C318" s="1" t="s">
        <v>549</v>
      </c>
      <c r="D318" s="1" t="s">
        <v>548</v>
      </c>
      <c r="E318" s="9" t="n">
        <v>600</v>
      </c>
      <c r="G318" s="12"/>
      <c r="H318" s="12"/>
    </row>
    <row r="319" customFormat="false" ht="13.8" hidden="false" customHeight="false" outlineLevel="0" collapsed="false">
      <c r="A319" s="9" t="s">
        <v>252</v>
      </c>
      <c r="B319" s="9" t="s">
        <v>247</v>
      </c>
      <c r="C319" s="1" t="s">
        <v>549</v>
      </c>
      <c r="D319" s="1" t="s">
        <v>548</v>
      </c>
      <c r="E319" s="9" t="n">
        <v>500</v>
      </c>
      <c r="G319" s="12"/>
      <c r="H319" s="12"/>
    </row>
    <row r="320" customFormat="false" ht="13.8" hidden="false" customHeight="false" outlineLevel="0" collapsed="false">
      <c r="A320" s="9" t="s">
        <v>275</v>
      </c>
      <c r="B320" s="9" t="s">
        <v>247</v>
      </c>
      <c r="C320" s="1" t="s">
        <v>549</v>
      </c>
      <c r="D320" s="1" t="s">
        <v>548</v>
      </c>
      <c r="E320" s="9" t="n">
        <v>2000</v>
      </c>
      <c r="G320" s="12"/>
      <c r="H320" s="12"/>
    </row>
    <row r="321" customFormat="false" ht="13.8" hidden="false" customHeight="false" outlineLevel="0" collapsed="false">
      <c r="A321" s="9" t="s">
        <v>198</v>
      </c>
      <c r="B321" s="9" t="s">
        <v>220</v>
      </c>
      <c r="C321" s="1" t="s">
        <v>549</v>
      </c>
      <c r="D321" s="1" t="s">
        <v>548</v>
      </c>
      <c r="E321" s="9" t="n">
        <v>500</v>
      </c>
      <c r="G321" s="12"/>
      <c r="H321" s="12"/>
    </row>
    <row r="322" customFormat="false" ht="13.8" hidden="false" customHeight="false" outlineLevel="0" collapsed="false">
      <c r="A322" s="9" t="s">
        <v>198</v>
      </c>
      <c r="B322" s="9" t="s">
        <v>220</v>
      </c>
      <c r="C322" s="1" t="s">
        <v>549</v>
      </c>
      <c r="D322" s="1" t="s">
        <v>548</v>
      </c>
      <c r="E322" s="9" t="n">
        <v>500</v>
      </c>
      <c r="G322" s="12"/>
      <c r="H322" s="12"/>
    </row>
    <row r="323" customFormat="false" ht="13.8" hidden="false" customHeight="false" outlineLevel="0" collapsed="false">
      <c r="A323" s="9" t="s">
        <v>198</v>
      </c>
      <c r="B323" s="9" t="s">
        <v>206</v>
      </c>
      <c r="C323" s="1" t="s">
        <v>549</v>
      </c>
      <c r="D323" s="1" t="s">
        <v>548</v>
      </c>
      <c r="E323" s="9" t="n">
        <v>1000</v>
      </c>
      <c r="G323" s="12"/>
      <c r="H323" s="12"/>
    </row>
    <row r="324" customFormat="false" ht="13.8" hidden="false" customHeight="false" outlineLevel="0" collapsed="false">
      <c r="A324" s="9" t="s">
        <v>198</v>
      </c>
      <c r="B324" s="9" t="s">
        <v>206</v>
      </c>
      <c r="C324" s="1" t="s">
        <v>549</v>
      </c>
      <c r="D324" s="1" t="s">
        <v>548</v>
      </c>
      <c r="E324" s="9" t="n">
        <v>1000</v>
      </c>
      <c r="G324" s="12"/>
      <c r="H324" s="12"/>
    </row>
    <row r="325" customFormat="false" ht="13.8" hidden="false" customHeight="false" outlineLevel="0" collapsed="false">
      <c r="A325" s="9" t="s">
        <v>198</v>
      </c>
      <c r="B325" s="9" t="s">
        <v>199</v>
      </c>
      <c r="C325" s="1" t="s">
        <v>549</v>
      </c>
      <c r="D325" s="1" t="s">
        <v>548</v>
      </c>
      <c r="E325" s="9" t="n">
        <v>500</v>
      </c>
      <c r="G325" s="12"/>
      <c r="H325" s="12"/>
    </row>
    <row r="326" customFormat="false" ht="13.8" hidden="false" customHeight="false" outlineLevel="0" collapsed="false">
      <c r="A326" s="9" t="s">
        <v>198</v>
      </c>
      <c r="B326" s="9" t="s">
        <v>199</v>
      </c>
      <c r="C326" s="1" t="s">
        <v>549</v>
      </c>
      <c r="D326" s="1" t="s">
        <v>548</v>
      </c>
      <c r="E326" s="9" t="n">
        <v>500</v>
      </c>
      <c r="G326" s="12"/>
      <c r="H326" s="12"/>
    </row>
    <row r="327" customFormat="false" ht="13.8" hidden="false" customHeight="false" outlineLevel="0" collapsed="false">
      <c r="A327" s="9" t="s">
        <v>198</v>
      </c>
      <c r="B327" s="9" t="s">
        <v>203</v>
      </c>
      <c r="C327" s="1" t="s">
        <v>549</v>
      </c>
      <c r="D327" s="1" t="s">
        <v>548</v>
      </c>
      <c r="E327" s="9" t="n">
        <v>500</v>
      </c>
      <c r="G327" s="12"/>
      <c r="H327" s="12"/>
    </row>
    <row r="328" customFormat="false" ht="13.8" hidden="false" customHeight="false" outlineLevel="0" collapsed="false">
      <c r="A328" s="9" t="s">
        <v>205</v>
      </c>
      <c r="B328" s="9" t="s">
        <v>206</v>
      </c>
      <c r="C328" s="1" t="s">
        <v>549</v>
      </c>
      <c r="D328" s="1" t="s">
        <v>548</v>
      </c>
      <c r="E328" s="9" t="n">
        <v>1000</v>
      </c>
      <c r="G328" s="12"/>
      <c r="H328" s="12"/>
    </row>
    <row r="329" customFormat="false" ht="13.8" hidden="false" customHeight="false" outlineLevel="0" collapsed="false">
      <c r="A329" s="9" t="s">
        <v>205</v>
      </c>
      <c r="B329" s="9" t="s">
        <v>212</v>
      </c>
      <c r="C329" s="1" t="s">
        <v>549</v>
      </c>
      <c r="D329" s="1" t="s">
        <v>548</v>
      </c>
      <c r="E329" s="9" t="n">
        <v>1000</v>
      </c>
      <c r="G329" s="12"/>
      <c r="H329" s="12"/>
    </row>
    <row r="330" customFormat="false" ht="13.8" hidden="false" customHeight="false" outlineLevel="0" collapsed="false">
      <c r="A330" s="9" t="s">
        <v>205</v>
      </c>
      <c r="B330" s="9" t="s">
        <v>212</v>
      </c>
      <c r="C330" s="1" t="s">
        <v>549</v>
      </c>
      <c r="D330" s="1" t="s">
        <v>548</v>
      </c>
      <c r="E330" s="9" t="n">
        <v>1000</v>
      </c>
      <c r="G330" s="12"/>
      <c r="H330" s="12"/>
    </row>
    <row r="331" customFormat="false" ht="13.8" hidden="false" customHeight="false" outlineLevel="0" collapsed="false">
      <c r="A331" s="9" t="s">
        <v>220</v>
      </c>
      <c r="B331" s="9" t="s">
        <v>199</v>
      </c>
      <c r="C331" s="1" t="s">
        <v>549</v>
      </c>
      <c r="D331" s="1" t="s">
        <v>548</v>
      </c>
      <c r="E331" s="9" t="n">
        <v>1000</v>
      </c>
      <c r="G331" s="12"/>
      <c r="H331" s="12"/>
    </row>
    <row r="332" customFormat="false" ht="13.8" hidden="false" customHeight="false" outlineLevel="0" collapsed="false">
      <c r="A332" s="9" t="s">
        <v>220</v>
      </c>
      <c r="B332" s="9" t="s">
        <v>199</v>
      </c>
      <c r="C332" s="1" t="s">
        <v>549</v>
      </c>
      <c r="D332" s="1" t="s">
        <v>548</v>
      </c>
      <c r="E332" s="9" t="n">
        <v>1000</v>
      </c>
      <c r="G332" s="12"/>
      <c r="H332" s="12"/>
    </row>
    <row r="333" customFormat="false" ht="13.8" hidden="false" customHeight="false" outlineLevel="0" collapsed="false">
      <c r="A333" s="9" t="s">
        <v>206</v>
      </c>
      <c r="B333" s="9" t="s">
        <v>220</v>
      </c>
      <c r="C333" s="1" t="s">
        <v>549</v>
      </c>
      <c r="D333" s="1" t="s">
        <v>548</v>
      </c>
      <c r="E333" s="9" t="n">
        <v>1000</v>
      </c>
      <c r="G333" s="12"/>
      <c r="H333" s="12"/>
    </row>
    <row r="334" customFormat="false" ht="13.8" hidden="false" customHeight="false" outlineLevel="0" collapsed="false">
      <c r="A334" s="9" t="s">
        <v>208</v>
      </c>
      <c r="B334" s="9" t="s">
        <v>232</v>
      </c>
      <c r="C334" s="1" t="s">
        <v>549</v>
      </c>
      <c r="D334" s="1" t="s">
        <v>548</v>
      </c>
      <c r="E334" s="9" t="n">
        <v>700</v>
      </c>
      <c r="G334" s="12"/>
      <c r="H334" s="12"/>
    </row>
    <row r="335" customFormat="false" ht="13.8" hidden="false" customHeight="false" outlineLevel="0" collapsed="false">
      <c r="A335" s="9" t="s">
        <v>208</v>
      </c>
      <c r="B335" s="9" t="s">
        <v>232</v>
      </c>
      <c r="C335" s="1" t="s">
        <v>549</v>
      </c>
      <c r="D335" s="1" t="s">
        <v>548</v>
      </c>
      <c r="E335" s="9" t="n">
        <v>700</v>
      </c>
      <c r="G335" s="12"/>
      <c r="H335" s="12"/>
    </row>
    <row r="336" customFormat="false" ht="13.8" hidden="false" customHeight="false" outlineLevel="0" collapsed="false">
      <c r="A336" s="9" t="s">
        <v>208</v>
      </c>
      <c r="B336" s="9" t="s">
        <v>199</v>
      </c>
      <c r="C336" s="1" t="s">
        <v>549</v>
      </c>
      <c r="D336" s="1" t="s">
        <v>548</v>
      </c>
      <c r="E336" s="9" t="n">
        <v>1000</v>
      </c>
      <c r="G336" s="12"/>
      <c r="H336" s="12"/>
    </row>
    <row r="337" customFormat="false" ht="13.8" hidden="false" customHeight="false" outlineLevel="0" collapsed="false">
      <c r="A337" s="9" t="s">
        <v>208</v>
      </c>
      <c r="B337" s="9" t="s">
        <v>199</v>
      </c>
      <c r="C337" s="1" t="s">
        <v>549</v>
      </c>
      <c r="D337" s="1" t="s">
        <v>548</v>
      </c>
      <c r="E337" s="9" t="n">
        <v>1000</v>
      </c>
      <c r="G337" s="12"/>
      <c r="H337" s="12"/>
    </row>
    <row r="338" customFormat="false" ht="13.8" hidden="false" customHeight="false" outlineLevel="0" collapsed="false">
      <c r="A338" s="9" t="s">
        <v>323</v>
      </c>
      <c r="B338" s="9" t="s">
        <v>324</v>
      </c>
      <c r="C338" s="1" t="s">
        <v>549</v>
      </c>
      <c r="D338" s="1" t="s">
        <v>548</v>
      </c>
      <c r="E338" s="9" t="n">
        <v>500</v>
      </c>
      <c r="G338" s="12"/>
      <c r="H338" s="12"/>
    </row>
    <row r="339" customFormat="false" ht="13.8" hidden="false" customHeight="false" outlineLevel="0" collapsed="false">
      <c r="A339" s="9" t="s">
        <v>323</v>
      </c>
      <c r="B339" s="9" t="s">
        <v>324</v>
      </c>
      <c r="C339" s="1" t="s">
        <v>549</v>
      </c>
      <c r="D339" s="1" t="s">
        <v>548</v>
      </c>
      <c r="E339" s="9" t="n">
        <v>500</v>
      </c>
      <c r="G339" s="12"/>
      <c r="H339" s="12"/>
    </row>
    <row r="340" customFormat="false" ht="13.8" hidden="false" customHeight="false" outlineLevel="0" collapsed="false">
      <c r="A340" s="9" t="s">
        <v>212</v>
      </c>
      <c r="B340" s="9" t="s">
        <v>215</v>
      </c>
      <c r="C340" s="1" t="s">
        <v>549</v>
      </c>
      <c r="D340" s="1" t="s">
        <v>548</v>
      </c>
      <c r="E340" s="9" t="n">
        <v>1000</v>
      </c>
      <c r="G340" s="12"/>
      <c r="H340" s="12"/>
    </row>
    <row r="341" customFormat="false" ht="13.8" hidden="false" customHeight="false" outlineLevel="0" collapsed="false">
      <c r="A341" s="9" t="s">
        <v>212</v>
      </c>
      <c r="B341" s="9" t="s">
        <v>215</v>
      </c>
      <c r="C341" s="1" t="s">
        <v>549</v>
      </c>
      <c r="D341" s="1" t="s">
        <v>548</v>
      </c>
      <c r="E341" s="9" t="n">
        <v>1000</v>
      </c>
      <c r="G341" s="12"/>
      <c r="H341" s="12"/>
    </row>
    <row r="342" customFormat="false" ht="13.8" hidden="false" customHeight="false" outlineLevel="0" collapsed="false">
      <c r="A342" s="9" t="s">
        <v>215</v>
      </c>
      <c r="B342" s="9" t="s">
        <v>232</v>
      </c>
      <c r="C342" s="1" t="s">
        <v>549</v>
      </c>
      <c r="D342" s="1" t="s">
        <v>548</v>
      </c>
      <c r="E342" s="9" t="n">
        <v>700</v>
      </c>
      <c r="G342" s="12"/>
      <c r="H342" s="12"/>
    </row>
    <row r="343" customFormat="false" ht="13.8" hidden="false" customHeight="false" outlineLevel="0" collapsed="false">
      <c r="A343" s="9" t="s">
        <v>215</v>
      </c>
      <c r="B343" s="9" t="s">
        <v>233</v>
      </c>
      <c r="C343" s="1" t="s">
        <v>549</v>
      </c>
      <c r="D343" s="1" t="s">
        <v>548</v>
      </c>
      <c r="E343" s="9" t="n">
        <v>700</v>
      </c>
      <c r="G343" s="12"/>
      <c r="H343" s="12"/>
    </row>
    <row r="344" customFormat="false" ht="13.8" hidden="false" customHeight="false" outlineLevel="0" collapsed="false">
      <c r="A344" s="9" t="s">
        <v>206</v>
      </c>
      <c r="B344" s="9" t="s">
        <v>212</v>
      </c>
      <c r="C344" s="1" t="s">
        <v>549</v>
      </c>
      <c r="D344" s="1" t="s">
        <v>548</v>
      </c>
      <c r="E344" s="9" t="n">
        <v>1000</v>
      </c>
      <c r="G344" s="12"/>
      <c r="H344" s="12"/>
    </row>
    <row r="345" customFormat="false" ht="13.8" hidden="false" customHeight="false" outlineLevel="0" collapsed="false">
      <c r="A345" s="9" t="s">
        <v>198</v>
      </c>
      <c r="B345" s="9" t="s">
        <v>241</v>
      </c>
      <c r="C345" s="1" t="s">
        <v>549</v>
      </c>
      <c r="D345" s="1" t="s">
        <v>548</v>
      </c>
      <c r="E345" s="9" t="n">
        <v>500</v>
      </c>
      <c r="G345" s="12"/>
      <c r="H345" s="12"/>
    </row>
    <row r="346" customFormat="false" ht="13.8" hidden="false" customHeight="false" outlineLevel="0" collapsed="false">
      <c r="A346" s="9" t="s">
        <v>198</v>
      </c>
      <c r="B346" s="9" t="s">
        <v>241</v>
      </c>
      <c r="C346" s="1" t="s">
        <v>549</v>
      </c>
      <c r="D346" s="1" t="s">
        <v>548</v>
      </c>
      <c r="E346" s="9" t="n">
        <v>500</v>
      </c>
      <c r="G346" s="12"/>
      <c r="H346" s="12"/>
    </row>
    <row r="347" customFormat="false" ht="13.8" hidden="false" customHeight="false" outlineLevel="0" collapsed="false">
      <c r="A347" s="9" t="s">
        <v>198</v>
      </c>
      <c r="B347" s="9" t="s">
        <v>265</v>
      </c>
      <c r="C347" s="1" t="s">
        <v>549</v>
      </c>
      <c r="D347" s="1" t="s">
        <v>548</v>
      </c>
      <c r="E347" s="9" t="n">
        <v>1000</v>
      </c>
      <c r="G347" s="12"/>
      <c r="H347" s="12"/>
    </row>
    <row r="348" customFormat="false" ht="13.8" hidden="false" customHeight="false" outlineLevel="0" collapsed="false">
      <c r="A348" s="9" t="s">
        <v>206</v>
      </c>
      <c r="B348" s="9" t="s">
        <v>379</v>
      </c>
      <c r="C348" s="1" t="s">
        <v>549</v>
      </c>
      <c r="D348" s="1" t="s">
        <v>548</v>
      </c>
      <c r="E348" s="9" t="n">
        <v>500</v>
      </c>
      <c r="G348" s="12"/>
      <c r="H348" s="12"/>
    </row>
    <row r="349" customFormat="false" ht="13.8" hidden="false" customHeight="false" outlineLevel="0" collapsed="false">
      <c r="A349" s="9" t="s">
        <v>206</v>
      </c>
      <c r="B349" s="9" t="s">
        <v>379</v>
      </c>
      <c r="C349" s="1" t="s">
        <v>549</v>
      </c>
      <c r="D349" s="1" t="s">
        <v>548</v>
      </c>
      <c r="E349" s="9" t="n">
        <v>500</v>
      </c>
      <c r="G349" s="12"/>
      <c r="H349" s="12"/>
    </row>
    <row r="350" customFormat="false" ht="13.8" hidden="false" customHeight="false" outlineLevel="0" collapsed="false">
      <c r="A350" s="9" t="s">
        <v>379</v>
      </c>
      <c r="B350" s="9" t="s">
        <v>226</v>
      </c>
      <c r="C350" s="1" t="s">
        <v>549</v>
      </c>
      <c r="D350" s="1" t="s">
        <v>548</v>
      </c>
      <c r="E350" s="9" t="n">
        <v>600</v>
      </c>
      <c r="G350" s="12"/>
      <c r="H350" s="12"/>
    </row>
    <row r="351" customFormat="false" ht="13.8" hidden="false" customHeight="false" outlineLevel="0" collapsed="false">
      <c r="A351" s="9" t="s">
        <v>379</v>
      </c>
      <c r="B351" s="9" t="s">
        <v>244</v>
      </c>
      <c r="C351" s="1" t="s">
        <v>549</v>
      </c>
      <c r="D351" s="1" t="s">
        <v>548</v>
      </c>
      <c r="E351" s="9" t="n">
        <v>500</v>
      </c>
      <c r="G351" s="12"/>
      <c r="H351" s="12"/>
    </row>
    <row r="352" customFormat="false" ht="13.8" hidden="false" customHeight="false" outlineLevel="0" collapsed="false">
      <c r="A352" s="9" t="s">
        <v>226</v>
      </c>
      <c r="B352" s="9" t="s">
        <v>247</v>
      </c>
      <c r="C352" s="1" t="s">
        <v>549</v>
      </c>
      <c r="D352" s="1" t="s">
        <v>548</v>
      </c>
      <c r="E352" s="9" t="n">
        <v>500</v>
      </c>
      <c r="G352" s="12"/>
      <c r="H352" s="12"/>
    </row>
    <row r="353" customFormat="false" ht="13.8" hidden="false" customHeight="false" outlineLevel="0" collapsed="false">
      <c r="A353" s="9" t="s">
        <v>226</v>
      </c>
      <c r="B353" s="9" t="s">
        <v>247</v>
      </c>
      <c r="C353" s="1" t="s">
        <v>549</v>
      </c>
      <c r="D353" s="1" t="s">
        <v>548</v>
      </c>
      <c r="E353" s="9" t="n">
        <v>500</v>
      </c>
      <c r="G353" s="12"/>
      <c r="H353" s="12"/>
    </row>
    <row r="354" customFormat="false" ht="13.8" hidden="false" customHeight="false" outlineLevel="0" collapsed="false">
      <c r="A354" s="9" t="s">
        <v>226</v>
      </c>
      <c r="B354" s="9" t="s">
        <v>247</v>
      </c>
      <c r="C354" s="1" t="s">
        <v>549</v>
      </c>
      <c r="D354" s="1" t="s">
        <v>548</v>
      </c>
      <c r="E354" s="9" t="n">
        <v>500</v>
      </c>
      <c r="G354" s="12"/>
      <c r="H354" s="12"/>
    </row>
    <row r="355" customFormat="false" ht="13.8" hidden="false" customHeight="false" outlineLevel="0" collapsed="false">
      <c r="A355" s="9" t="s">
        <v>226</v>
      </c>
      <c r="B355" s="9" t="s">
        <v>247</v>
      </c>
      <c r="C355" s="1" t="s">
        <v>549</v>
      </c>
      <c r="D355" s="1" t="s">
        <v>548</v>
      </c>
      <c r="E355" s="9" t="n">
        <v>500</v>
      </c>
      <c r="G355" s="12"/>
      <c r="H355" s="12"/>
    </row>
    <row r="356" customFormat="false" ht="13.8" hidden="false" customHeight="false" outlineLevel="0" collapsed="false">
      <c r="A356" s="9" t="s">
        <v>226</v>
      </c>
      <c r="B356" s="9" t="s">
        <v>247</v>
      </c>
      <c r="C356" s="1" t="s">
        <v>549</v>
      </c>
      <c r="D356" s="1" t="s">
        <v>548</v>
      </c>
      <c r="E356" s="9" t="n">
        <v>500</v>
      </c>
      <c r="G356" s="12"/>
      <c r="H356" s="12"/>
    </row>
    <row r="357" customFormat="false" ht="13.8" hidden="false" customHeight="false" outlineLevel="0" collapsed="false">
      <c r="A357" s="9" t="s">
        <v>226</v>
      </c>
      <c r="B357" s="9" t="s">
        <v>247</v>
      </c>
      <c r="C357" s="1" t="s">
        <v>549</v>
      </c>
      <c r="D357" s="1" t="s">
        <v>548</v>
      </c>
      <c r="E357" s="9" t="n">
        <v>500</v>
      </c>
      <c r="G357" s="12"/>
      <c r="H357" s="12"/>
    </row>
    <row r="358" customFormat="false" ht="13.8" hidden="false" customHeight="false" outlineLevel="0" collapsed="false">
      <c r="A358" s="9" t="s">
        <v>249</v>
      </c>
      <c r="B358" s="9" t="s">
        <v>250</v>
      </c>
      <c r="C358" s="1" t="s">
        <v>549</v>
      </c>
      <c r="D358" s="1" t="s">
        <v>548</v>
      </c>
      <c r="E358" s="9" t="n">
        <v>700</v>
      </c>
      <c r="G358" s="12"/>
      <c r="H358" s="12"/>
    </row>
    <row r="359" customFormat="false" ht="13.8" hidden="false" customHeight="false" outlineLevel="0" collapsed="false">
      <c r="A359" s="9" t="s">
        <v>249</v>
      </c>
      <c r="B359" s="9" t="s">
        <v>252</v>
      </c>
      <c r="C359" s="1" t="s">
        <v>549</v>
      </c>
      <c r="D359" s="1" t="s">
        <v>548</v>
      </c>
      <c r="E359" s="9" t="n">
        <v>1000</v>
      </c>
      <c r="G359" s="12"/>
      <c r="H359" s="12"/>
    </row>
    <row r="360" customFormat="false" ht="13.8" hidden="false" customHeight="false" outlineLevel="0" collapsed="false">
      <c r="A360" s="9" t="s">
        <v>250</v>
      </c>
      <c r="B360" s="9" t="s">
        <v>254</v>
      </c>
      <c r="C360" s="1" t="s">
        <v>549</v>
      </c>
      <c r="D360" s="1" t="s">
        <v>548</v>
      </c>
      <c r="E360" s="9" t="n">
        <v>800</v>
      </c>
      <c r="G360" s="12"/>
      <c r="H360" s="12"/>
    </row>
    <row r="361" customFormat="false" ht="13.8" hidden="false" customHeight="false" outlineLevel="0" collapsed="false">
      <c r="A361" s="9" t="s">
        <v>250</v>
      </c>
      <c r="B361" s="9" t="s">
        <v>275</v>
      </c>
      <c r="C361" s="1" t="s">
        <v>549</v>
      </c>
      <c r="D361" s="1" t="s">
        <v>548</v>
      </c>
      <c r="E361" s="9" t="n">
        <v>500</v>
      </c>
      <c r="G361" s="12"/>
      <c r="H361" s="12"/>
    </row>
    <row r="362" customFormat="false" ht="13.8" hidden="false" customHeight="false" outlineLevel="0" collapsed="false">
      <c r="A362" s="9" t="s">
        <v>250</v>
      </c>
      <c r="B362" s="9" t="s">
        <v>247</v>
      </c>
      <c r="C362" s="1" t="s">
        <v>549</v>
      </c>
      <c r="D362" s="1" t="s">
        <v>548</v>
      </c>
      <c r="E362" s="9" t="n">
        <v>500</v>
      </c>
      <c r="G362" s="12"/>
      <c r="H362" s="12"/>
    </row>
    <row r="363" customFormat="false" ht="13.8" hidden="false" customHeight="false" outlineLevel="0" collapsed="false">
      <c r="A363" s="9" t="s">
        <v>237</v>
      </c>
      <c r="B363" s="9" t="s">
        <v>203</v>
      </c>
      <c r="C363" s="1" t="s">
        <v>549</v>
      </c>
      <c r="D363" s="1" t="s">
        <v>548</v>
      </c>
      <c r="E363" s="9" t="n">
        <v>1000</v>
      </c>
      <c r="G363" s="12"/>
      <c r="H363" s="12"/>
    </row>
    <row r="364" customFormat="false" ht="13.8" hidden="false" customHeight="false" outlineLevel="0" collapsed="false">
      <c r="A364" s="9" t="s">
        <v>265</v>
      </c>
      <c r="B364" s="9" t="s">
        <v>203</v>
      </c>
      <c r="C364" s="1" t="s">
        <v>549</v>
      </c>
      <c r="D364" s="1" t="s">
        <v>548</v>
      </c>
      <c r="E364" s="9" t="n">
        <v>500</v>
      </c>
      <c r="G364" s="12"/>
      <c r="H364" s="12"/>
    </row>
    <row r="365" customFormat="false" ht="13.8" hidden="false" customHeight="false" outlineLevel="0" collapsed="false">
      <c r="A365" s="9" t="s">
        <v>265</v>
      </c>
      <c r="B365" s="9" t="s">
        <v>203</v>
      </c>
      <c r="C365" s="1" t="s">
        <v>549</v>
      </c>
      <c r="D365" s="1" t="s">
        <v>548</v>
      </c>
      <c r="E365" s="9" t="n">
        <v>500</v>
      </c>
      <c r="G365" s="12"/>
      <c r="H365" s="12"/>
    </row>
    <row r="366" customFormat="false" ht="13.8" hidden="false" customHeight="false" outlineLevel="0" collapsed="false">
      <c r="A366" s="9" t="s">
        <v>265</v>
      </c>
      <c r="B366" s="9" t="s">
        <v>242</v>
      </c>
      <c r="C366" s="1" t="s">
        <v>549</v>
      </c>
      <c r="D366" s="1" t="s">
        <v>548</v>
      </c>
      <c r="E366" s="9" t="n">
        <v>500</v>
      </c>
      <c r="G366" s="12"/>
      <c r="H366" s="12"/>
    </row>
    <row r="367" customFormat="false" ht="13.8" hidden="false" customHeight="false" outlineLevel="0" collapsed="false">
      <c r="A367" s="9" t="s">
        <v>265</v>
      </c>
      <c r="B367" s="9" t="s">
        <v>242</v>
      </c>
      <c r="C367" s="1" t="s">
        <v>549</v>
      </c>
      <c r="D367" s="1" t="s">
        <v>548</v>
      </c>
      <c r="E367" s="9" t="n">
        <v>500</v>
      </c>
      <c r="G367" s="12"/>
      <c r="H367" s="12"/>
    </row>
    <row r="368" customFormat="false" ht="13.8" hidden="false" customHeight="false" outlineLevel="0" collapsed="false">
      <c r="A368" s="9" t="s">
        <v>269</v>
      </c>
      <c r="B368" s="9" t="s">
        <v>270</v>
      </c>
      <c r="C368" s="1" t="s">
        <v>549</v>
      </c>
      <c r="D368" s="1" t="s">
        <v>548</v>
      </c>
      <c r="E368" s="9" t="n">
        <v>500</v>
      </c>
      <c r="G368" s="12"/>
      <c r="H368" s="12"/>
    </row>
    <row r="369" customFormat="false" ht="13.8" hidden="false" customHeight="false" outlineLevel="0" collapsed="false">
      <c r="A369" s="9" t="s">
        <v>269</v>
      </c>
      <c r="B369" s="9" t="s">
        <v>270</v>
      </c>
      <c r="C369" s="1" t="s">
        <v>549</v>
      </c>
      <c r="D369" s="1" t="s">
        <v>548</v>
      </c>
      <c r="E369" s="9" t="n">
        <v>500</v>
      </c>
      <c r="G369" s="12"/>
      <c r="H369" s="12"/>
    </row>
    <row r="370" customFormat="false" ht="13.8" hidden="false" customHeight="false" outlineLevel="0" collapsed="false">
      <c r="A370" s="9" t="s">
        <v>272</v>
      </c>
      <c r="B370" s="9" t="s">
        <v>252</v>
      </c>
      <c r="C370" s="1" t="s">
        <v>549</v>
      </c>
      <c r="D370" s="1" t="s">
        <v>548</v>
      </c>
      <c r="E370" s="9" t="n">
        <v>500</v>
      </c>
      <c r="G370" s="12"/>
      <c r="H370" s="12"/>
    </row>
    <row r="371" customFormat="false" ht="13.8" hidden="false" customHeight="false" outlineLevel="0" collapsed="false">
      <c r="A371" s="9" t="s">
        <v>272</v>
      </c>
      <c r="B371" s="9" t="s">
        <v>252</v>
      </c>
      <c r="C371" s="1" t="s">
        <v>549</v>
      </c>
      <c r="D371" s="1" t="s">
        <v>548</v>
      </c>
      <c r="E371" s="9" t="n">
        <v>500</v>
      </c>
      <c r="G371" s="12"/>
      <c r="H371" s="12"/>
    </row>
    <row r="372" customFormat="false" ht="13.8" hidden="false" customHeight="false" outlineLevel="0" collapsed="false">
      <c r="A372" s="9" t="s">
        <v>272</v>
      </c>
      <c r="B372" s="9" t="s">
        <v>252</v>
      </c>
      <c r="C372" s="1" t="s">
        <v>549</v>
      </c>
      <c r="D372" s="1" t="s">
        <v>548</v>
      </c>
      <c r="E372" s="9" t="n">
        <v>500</v>
      </c>
      <c r="G372" s="12"/>
      <c r="H372" s="12"/>
    </row>
    <row r="373" customFormat="false" ht="13.8" hidden="false" customHeight="false" outlineLevel="0" collapsed="false">
      <c r="A373" s="9" t="s">
        <v>269</v>
      </c>
      <c r="B373" s="9" t="s">
        <v>259</v>
      </c>
      <c r="C373" s="1" t="s">
        <v>549</v>
      </c>
      <c r="D373" s="1" t="s">
        <v>548</v>
      </c>
      <c r="E373" s="9" t="n">
        <v>300</v>
      </c>
      <c r="G373" s="12"/>
      <c r="H373" s="12"/>
    </row>
    <row r="374" customFormat="false" ht="13.8" hidden="false" customHeight="false" outlineLevel="0" collapsed="false">
      <c r="A374" s="9" t="s">
        <v>269</v>
      </c>
      <c r="B374" s="9" t="s">
        <v>259</v>
      </c>
      <c r="C374" s="1" t="s">
        <v>549</v>
      </c>
      <c r="D374" s="1" t="s">
        <v>548</v>
      </c>
      <c r="E374" s="9" t="n">
        <v>200</v>
      </c>
      <c r="G374" s="12"/>
      <c r="H374" s="12"/>
    </row>
    <row r="375" customFormat="false" ht="13.8" hidden="false" customHeight="false" outlineLevel="0" collapsed="false">
      <c r="A375" s="9" t="s">
        <v>269</v>
      </c>
      <c r="B375" s="9" t="s">
        <v>199</v>
      </c>
      <c r="C375" s="1" t="s">
        <v>549</v>
      </c>
      <c r="D375" s="1" t="s">
        <v>548</v>
      </c>
      <c r="E375" s="9" t="n">
        <v>2000</v>
      </c>
      <c r="G375" s="12"/>
      <c r="H375" s="12"/>
    </row>
    <row r="376" customFormat="false" ht="13.8" hidden="false" customHeight="false" outlineLevel="0" collapsed="false">
      <c r="A376" s="9" t="s">
        <v>269</v>
      </c>
      <c r="B376" s="9" t="s">
        <v>491</v>
      </c>
      <c r="C376" s="1" t="s">
        <v>549</v>
      </c>
      <c r="D376" s="1" t="s">
        <v>548</v>
      </c>
      <c r="E376" s="9" t="n">
        <v>800</v>
      </c>
      <c r="G376" s="12"/>
      <c r="H376" s="12"/>
    </row>
    <row r="377" customFormat="false" ht="13.8" hidden="false" customHeight="false" outlineLevel="0" collapsed="false">
      <c r="A377" s="9" t="s">
        <v>269</v>
      </c>
      <c r="B377" s="9" t="s">
        <v>491</v>
      </c>
      <c r="C377" s="1" t="s">
        <v>549</v>
      </c>
      <c r="D377" s="1" t="s">
        <v>548</v>
      </c>
      <c r="E377" s="9" t="n">
        <v>500</v>
      </c>
      <c r="G377" s="12"/>
      <c r="H377" s="12"/>
    </row>
    <row r="378" customFormat="false" ht="13.8" hidden="false" customHeight="false" outlineLevel="0" collapsed="false">
      <c r="A378" s="9" t="s">
        <v>269</v>
      </c>
      <c r="B378" s="9" t="s">
        <v>259</v>
      </c>
      <c r="C378" s="1" t="s">
        <v>549</v>
      </c>
      <c r="D378" s="1" t="s">
        <v>548</v>
      </c>
      <c r="E378" s="9" t="n">
        <v>600</v>
      </c>
      <c r="G378" s="12"/>
      <c r="H378" s="12"/>
    </row>
    <row r="379" customFormat="false" ht="13.8" hidden="false" customHeight="false" outlineLevel="0" collapsed="false">
      <c r="A379" s="9" t="s">
        <v>269</v>
      </c>
      <c r="B379" s="9" t="s">
        <v>491</v>
      </c>
      <c r="C379" s="1" t="s">
        <v>549</v>
      </c>
      <c r="D379" s="1" t="s">
        <v>548</v>
      </c>
      <c r="E379" s="9" t="n">
        <v>500</v>
      </c>
      <c r="G379" s="12"/>
      <c r="H379" s="12"/>
    </row>
    <row r="380" customFormat="false" ht="13.8" hidden="false" customHeight="false" outlineLevel="0" collapsed="false">
      <c r="A380" s="9" t="s">
        <v>491</v>
      </c>
      <c r="B380" s="9" t="s">
        <v>199</v>
      </c>
      <c r="C380" s="1" t="s">
        <v>549</v>
      </c>
      <c r="D380" s="1" t="s">
        <v>548</v>
      </c>
      <c r="E380" s="9" t="n">
        <v>2000</v>
      </c>
      <c r="G380" s="12"/>
      <c r="H380" s="12"/>
    </row>
    <row r="381" customFormat="false" ht="13.8" hidden="false" customHeight="false" outlineLevel="0" collapsed="false">
      <c r="A381" s="9" t="s">
        <v>269</v>
      </c>
      <c r="B381" s="9" t="s">
        <v>491</v>
      </c>
      <c r="C381" s="1" t="s">
        <v>549</v>
      </c>
      <c r="D381" s="1" t="s">
        <v>548</v>
      </c>
      <c r="E381" s="9" t="n">
        <v>600</v>
      </c>
      <c r="G381" s="12"/>
      <c r="H381" s="12"/>
    </row>
    <row r="382" customFormat="false" ht="13.8" hidden="false" customHeight="false" outlineLevel="0" collapsed="false">
      <c r="A382" s="9" t="s">
        <v>323</v>
      </c>
      <c r="B382" s="9" t="s">
        <v>498</v>
      </c>
      <c r="C382" s="1" t="s">
        <v>549</v>
      </c>
      <c r="D382" s="1" t="s">
        <v>548</v>
      </c>
      <c r="E382" s="9" t="n">
        <v>2000</v>
      </c>
      <c r="G382" s="12"/>
      <c r="H382" s="12"/>
    </row>
    <row r="383" customFormat="false" ht="13.8" hidden="false" customHeight="false" outlineLevel="0" collapsed="false">
      <c r="A383" s="9" t="s">
        <v>259</v>
      </c>
      <c r="B383" s="9" t="s">
        <v>498</v>
      </c>
      <c r="C383" s="1" t="s">
        <v>549</v>
      </c>
      <c r="D383" s="1" t="s">
        <v>548</v>
      </c>
      <c r="E383" s="9" t="n">
        <v>2000</v>
      </c>
      <c r="G383" s="12"/>
      <c r="H383" s="12"/>
    </row>
    <row r="384" customFormat="false" ht="13.8" hidden="false" customHeight="false" outlineLevel="0" collapsed="false">
      <c r="A384" s="9" t="s">
        <v>269</v>
      </c>
      <c r="B384" s="9" t="s">
        <v>259</v>
      </c>
      <c r="C384" s="1" t="s">
        <v>549</v>
      </c>
      <c r="D384" s="1" t="s">
        <v>548</v>
      </c>
      <c r="E384" s="9" t="n">
        <v>2000</v>
      </c>
      <c r="G384" s="12"/>
      <c r="H384" s="12"/>
    </row>
    <row r="385" customFormat="false" ht="13.8" hidden="false" customHeight="false" outlineLevel="0" collapsed="false">
      <c r="A385" s="9" t="s">
        <v>502</v>
      </c>
      <c r="B385" s="9" t="s">
        <v>269</v>
      </c>
      <c r="C385" s="1" t="s">
        <v>549</v>
      </c>
      <c r="D385" s="1" t="s">
        <v>548</v>
      </c>
      <c r="E385" s="9" t="n">
        <v>1000</v>
      </c>
      <c r="G385" s="12"/>
      <c r="H385" s="12"/>
    </row>
    <row r="386" customFormat="false" ht="13.8" hidden="false" customHeight="false" outlineLevel="0" collapsed="false">
      <c r="A386" s="9" t="s">
        <v>199</v>
      </c>
      <c r="B386" s="9" t="s">
        <v>198</v>
      </c>
      <c r="C386" s="1" t="s">
        <v>549</v>
      </c>
      <c r="D386" s="1" t="s">
        <v>548</v>
      </c>
      <c r="E386" s="9" t="n">
        <v>500</v>
      </c>
      <c r="G386" s="12"/>
      <c r="H386" s="12"/>
    </row>
    <row r="387" customFormat="false" ht="13.8" hidden="false" customHeight="false" outlineLevel="0" collapsed="false">
      <c r="A387" s="9" t="s">
        <v>203</v>
      </c>
      <c r="B387" s="9" t="s">
        <v>198</v>
      </c>
      <c r="C387" s="1" t="s">
        <v>549</v>
      </c>
      <c r="D387" s="1" t="s">
        <v>548</v>
      </c>
      <c r="E387" s="9" t="n">
        <v>500</v>
      </c>
      <c r="G387" s="12"/>
      <c r="H387" s="12"/>
    </row>
    <row r="388" customFormat="false" ht="13.8" hidden="false" customHeight="false" outlineLevel="0" collapsed="false">
      <c r="A388" s="9" t="s">
        <v>208</v>
      </c>
      <c r="B388" s="9" t="s">
        <v>205</v>
      </c>
      <c r="C388" s="1" t="s">
        <v>549</v>
      </c>
      <c r="D388" s="1" t="s">
        <v>548</v>
      </c>
      <c r="E388" s="9" t="n">
        <v>1000</v>
      </c>
      <c r="G388" s="12"/>
      <c r="H388" s="12"/>
    </row>
    <row r="389" customFormat="false" ht="13.8" hidden="false" customHeight="false" outlineLevel="0" collapsed="false">
      <c r="A389" s="9" t="s">
        <v>212</v>
      </c>
      <c r="B389" s="9" t="s">
        <v>205</v>
      </c>
      <c r="C389" s="1" t="s">
        <v>549</v>
      </c>
      <c r="D389" s="1" t="s">
        <v>548</v>
      </c>
      <c r="E389" s="9" t="n">
        <v>1000</v>
      </c>
      <c r="G389" s="12"/>
      <c r="H389" s="12"/>
    </row>
    <row r="390" customFormat="false" ht="13.8" hidden="false" customHeight="false" outlineLevel="0" collapsed="false">
      <c r="A390" s="9" t="s">
        <v>212</v>
      </c>
      <c r="B390" s="9" t="s">
        <v>205</v>
      </c>
      <c r="C390" s="1" t="s">
        <v>549</v>
      </c>
      <c r="D390" s="1" t="s">
        <v>548</v>
      </c>
      <c r="E390" s="9" t="n">
        <v>1000</v>
      </c>
      <c r="G390" s="12"/>
      <c r="H390" s="12"/>
    </row>
    <row r="391" customFormat="false" ht="13.8" hidden="false" customHeight="false" outlineLevel="0" collapsed="false">
      <c r="A391" s="9" t="s">
        <v>215</v>
      </c>
      <c r="B391" s="9" t="s">
        <v>205</v>
      </c>
      <c r="C391" s="1" t="s">
        <v>549</v>
      </c>
      <c r="D391" s="1" t="s">
        <v>548</v>
      </c>
      <c r="E391" s="9" t="n">
        <v>1400</v>
      </c>
      <c r="G391" s="12"/>
      <c r="H391" s="12"/>
    </row>
    <row r="392" customFormat="false" ht="13.8" hidden="false" customHeight="false" outlineLevel="0" collapsed="false">
      <c r="A392" s="9" t="s">
        <v>206</v>
      </c>
      <c r="B392" s="9" t="s">
        <v>220</v>
      </c>
      <c r="C392" s="1" t="s">
        <v>549</v>
      </c>
      <c r="D392" s="1" t="s">
        <v>548</v>
      </c>
      <c r="E392" s="9" t="n">
        <v>0</v>
      </c>
      <c r="G392" s="12"/>
      <c r="H392" s="12"/>
    </row>
    <row r="393" customFormat="false" ht="13.8" hidden="false" customHeight="false" outlineLevel="0" collapsed="false">
      <c r="A393" s="9" t="s">
        <v>206</v>
      </c>
      <c r="B393" s="9" t="s">
        <v>220</v>
      </c>
      <c r="C393" s="1" t="s">
        <v>549</v>
      </c>
      <c r="D393" s="1" t="s">
        <v>548</v>
      </c>
      <c r="E393" s="9" t="n">
        <v>600</v>
      </c>
      <c r="G393" s="12"/>
      <c r="H393" s="12"/>
    </row>
    <row r="394" customFormat="false" ht="13.8" hidden="false" customHeight="false" outlineLevel="0" collapsed="false">
      <c r="A394" s="9" t="s">
        <v>199</v>
      </c>
      <c r="B394" s="9" t="s">
        <v>220</v>
      </c>
      <c r="C394" s="1" t="s">
        <v>549</v>
      </c>
      <c r="D394" s="1" t="s">
        <v>548</v>
      </c>
      <c r="E394" s="9" t="n">
        <v>1000</v>
      </c>
      <c r="G394" s="12"/>
      <c r="H394" s="12"/>
    </row>
    <row r="395" customFormat="false" ht="13.8" hidden="false" customHeight="false" outlineLevel="0" collapsed="false">
      <c r="A395" s="9" t="s">
        <v>212</v>
      </c>
      <c r="B395" s="9" t="s">
        <v>206</v>
      </c>
      <c r="C395" s="1" t="s">
        <v>549</v>
      </c>
      <c r="D395" s="1" t="s">
        <v>548</v>
      </c>
      <c r="E395" s="9" t="n">
        <v>1000</v>
      </c>
      <c r="G395" s="12"/>
      <c r="H395" s="12"/>
    </row>
    <row r="396" customFormat="false" ht="13.8" hidden="false" customHeight="false" outlineLevel="0" collapsed="false">
      <c r="A396" s="9" t="s">
        <v>215</v>
      </c>
      <c r="B396" s="9" t="s">
        <v>226</v>
      </c>
      <c r="C396" s="1" t="s">
        <v>549</v>
      </c>
      <c r="D396" s="1" t="s">
        <v>548</v>
      </c>
      <c r="E396" s="9" t="n">
        <v>1400</v>
      </c>
      <c r="G396" s="12"/>
      <c r="H396" s="12"/>
    </row>
    <row r="397" customFormat="false" ht="13.8" hidden="false" customHeight="false" outlineLevel="0" collapsed="false">
      <c r="A397" s="9" t="s">
        <v>208</v>
      </c>
      <c r="B397" s="9" t="s">
        <v>228</v>
      </c>
      <c r="C397" s="1" t="s">
        <v>549</v>
      </c>
      <c r="D397" s="1" t="s">
        <v>548</v>
      </c>
      <c r="E397" s="9" t="n">
        <v>1500</v>
      </c>
      <c r="G397" s="12"/>
      <c r="H397" s="12"/>
    </row>
    <row r="398" customFormat="false" ht="13.8" hidden="false" customHeight="false" outlineLevel="0" collapsed="false">
      <c r="A398" s="9" t="s">
        <v>208</v>
      </c>
      <c r="B398" s="9" t="s">
        <v>228</v>
      </c>
      <c r="C398" s="1" t="s">
        <v>549</v>
      </c>
      <c r="D398" s="1" t="s">
        <v>548</v>
      </c>
      <c r="E398" s="9" t="n">
        <v>1500</v>
      </c>
      <c r="G398" s="12"/>
      <c r="H398" s="12"/>
    </row>
    <row r="399" customFormat="false" ht="13.8" hidden="false" customHeight="false" outlineLevel="0" collapsed="false">
      <c r="A399" s="9" t="s">
        <v>215</v>
      </c>
      <c r="B399" s="9" t="s">
        <v>208</v>
      </c>
      <c r="C399" s="1" t="s">
        <v>549</v>
      </c>
      <c r="D399" s="1" t="s">
        <v>548</v>
      </c>
      <c r="E399" s="9" t="n">
        <v>1250</v>
      </c>
      <c r="G399" s="12"/>
      <c r="H399" s="12"/>
    </row>
    <row r="400" customFormat="false" ht="13.8" hidden="false" customHeight="false" outlineLevel="0" collapsed="false">
      <c r="A400" s="9" t="s">
        <v>233</v>
      </c>
      <c r="B400" s="9" t="s">
        <v>232</v>
      </c>
      <c r="C400" s="1" t="s">
        <v>549</v>
      </c>
      <c r="D400" s="1" t="s">
        <v>548</v>
      </c>
      <c r="E400" s="9" t="n">
        <v>950</v>
      </c>
      <c r="G400" s="12"/>
      <c r="H400" s="12"/>
    </row>
    <row r="401" customFormat="false" ht="13.8" hidden="false" customHeight="false" outlineLevel="0" collapsed="false">
      <c r="A401" s="9" t="s">
        <v>233</v>
      </c>
      <c r="B401" s="9" t="s">
        <v>215</v>
      </c>
      <c r="C401" s="1" t="s">
        <v>549</v>
      </c>
      <c r="D401" s="1" t="s">
        <v>548</v>
      </c>
      <c r="E401" s="9" t="n">
        <v>700</v>
      </c>
      <c r="G401" s="12"/>
      <c r="H401" s="12"/>
    </row>
    <row r="402" customFormat="false" ht="13.8" hidden="false" customHeight="false" outlineLevel="0" collapsed="false">
      <c r="A402" s="9" t="s">
        <v>237</v>
      </c>
      <c r="B402" s="9" t="s">
        <v>236</v>
      </c>
      <c r="C402" s="1" t="s">
        <v>549</v>
      </c>
      <c r="D402" s="1" t="s">
        <v>548</v>
      </c>
      <c r="E402" s="9" t="n">
        <v>302</v>
      </c>
      <c r="G402" s="12"/>
      <c r="H402" s="12"/>
    </row>
    <row r="403" customFormat="false" ht="13.8" hidden="false" customHeight="false" outlineLevel="0" collapsed="false">
      <c r="A403" s="9" t="s">
        <v>239</v>
      </c>
      <c r="B403" s="9" t="s">
        <v>217</v>
      </c>
      <c r="C403" s="1" t="s">
        <v>549</v>
      </c>
      <c r="D403" s="1" t="s">
        <v>548</v>
      </c>
      <c r="E403" s="9" t="n">
        <v>270</v>
      </c>
      <c r="G403" s="12"/>
      <c r="H403" s="12"/>
    </row>
    <row r="404" customFormat="false" ht="13.8" hidden="false" customHeight="false" outlineLevel="0" collapsed="false">
      <c r="A404" s="9" t="s">
        <v>242</v>
      </c>
      <c r="B404" s="9" t="s">
        <v>241</v>
      </c>
      <c r="C404" s="1" t="s">
        <v>549</v>
      </c>
      <c r="D404" s="1" t="s">
        <v>548</v>
      </c>
      <c r="E404" s="9" t="n">
        <v>500</v>
      </c>
      <c r="G404" s="12"/>
      <c r="H404" s="12"/>
    </row>
    <row r="405" customFormat="false" ht="13.8" hidden="false" customHeight="false" outlineLevel="0" collapsed="false">
      <c r="A405" s="9" t="s">
        <v>244</v>
      </c>
      <c r="B405" s="9" t="s">
        <v>206</v>
      </c>
      <c r="C405" s="1" t="s">
        <v>549</v>
      </c>
      <c r="D405" s="1" t="s">
        <v>548</v>
      </c>
      <c r="E405" s="9" t="n">
        <v>700</v>
      </c>
      <c r="G405" s="12"/>
      <c r="H405" s="12"/>
    </row>
    <row r="406" customFormat="false" ht="13.8" hidden="false" customHeight="false" outlineLevel="0" collapsed="false">
      <c r="A406" s="9" t="s">
        <v>215</v>
      </c>
      <c r="B406" s="9" t="s">
        <v>206</v>
      </c>
      <c r="C406" s="1" t="s">
        <v>549</v>
      </c>
      <c r="D406" s="1" t="s">
        <v>548</v>
      </c>
      <c r="E406" s="9" t="n">
        <v>1400</v>
      </c>
      <c r="G406" s="12"/>
      <c r="H406" s="12"/>
    </row>
    <row r="407" customFormat="false" ht="13.8" hidden="false" customHeight="false" outlineLevel="0" collapsed="false">
      <c r="A407" s="9" t="s">
        <v>247</v>
      </c>
      <c r="B407" s="9" t="s">
        <v>226</v>
      </c>
      <c r="C407" s="1" t="s">
        <v>549</v>
      </c>
      <c r="D407" s="1" t="s">
        <v>548</v>
      </c>
      <c r="E407" s="9" t="n">
        <v>700</v>
      </c>
      <c r="G407" s="12"/>
      <c r="H407" s="12"/>
    </row>
    <row r="408" customFormat="false" ht="13.8" hidden="false" customHeight="false" outlineLevel="0" collapsed="false">
      <c r="A408" s="9" t="s">
        <v>250</v>
      </c>
      <c r="B408" s="9" t="s">
        <v>249</v>
      </c>
      <c r="C408" s="1" t="s">
        <v>549</v>
      </c>
      <c r="D408" s="1" t="s">
        <v>548</v>
      </c>
      <c r="E408" s="9" t="n">
        <v>700</v>
      </c>
      <c r="G408" s="12"/>
      <c r="H408" s="12"/>
    </row>
    <row r="409" customFormat="false" ht="13.8" hidden="false" customHeight="false" outlineLevel="0" collapsed="false">
      <c r="A409" s="9" t="s">
        <v>252</v>
      </c>
      <c r="B409" s="9" t="s">
        <v>249</v>
      </c>
      <c r="C409" s="1" t="s">
        <v>549</v>
      </c>
      <c r="D409" s="1" t="s">
        <v>548</v>
      </c>
      <c r="E409" s="9" t="n">
        <v>1000</v>
      </c>
      <c r="G409" s="12"/>
      <c r="H409" s="12"/>
    </row>
    <row r="410" customFormat="false" ht="13.8" hidden="false" customHeight="false" outlineLevel="0" collapsed="false">
      <c r="A410" s="9" t="s">
        <v>254</v>
      </c>
      <c r="B410" s="9" t="s">
        <v>250</v>
      </c>
      <c r="C410" s="1" t="s">
        <v>549</v>
      </c>
      <c r="D410" s="1" t="s">
        <v>548</v>
      </c>
      <c r="E410" s="9" t="n">
        <v>800</v>
      </c>
      <c r="G410" s="12"/>
      <c r="H410" s="12"/>
    </row>
    <row r="411" customFormat="false" ht="13.8" hidden="false" customHeight="false" outlineLevel="0" collapsed="false">
      <c r="A411" s="9" t="s">
        <v>254</v>
      </c>
      <c r="B411" s="9" t="s">
        <v>250</v>
      </c>
      <c r="C411" s="1" t="s">
        <v>549</v>
      </c>
      <c r="D411" s="1" t="s">
        <v>548</v>
      </c>
      <c r="E411" s="9" t="n">
        <v>800</v>
      </c>
      <c r="G411" s="12"/>
      <c r="H411" s="12"/>
    </row>
    <row r="412" customFormat="false" ht="13.8" hidden="false" customHeight="false" outlineLevel="0" collapsed="false">
      <c r="A412" s="9" t="s">
        <v>259</v>
      </c>
      <c r="B412" s="9" t="s">
        <v>258</v>
      </c>
      <c r="C412" s="1" t="s">
        <v>549</v>
      </c>
      <c r="D412" s="1" t="s">
        <v>548</v>
      </c>
      <c r="E412" s="9" t="n">
        <v>1000</v>
      </c>
      <c r="G412" s="12"/>
      <c r="H412" s="12"/>
    </row>
    <row r="413" customFormat="false" ht="13.8" hidden="false" customHeight="false" outlineLevel="0" collapsed="false">
      <c r="A413" s="9" t="s">
        <v>261</v>
      </c>
      <c r="B413" s="9" t="s">
        <v>258</v>
      </c>
      <c r="C413" s="1" t="s">
        <v>549</v>
      </c>
      <c r="D413" s="1" t="s">
        <v>548</v>
      </c>
      <c r="E413" s="9" t="n">
        <v>500</v>
      </c>
      <c r="G413" s="12"/>
      <c r="H413" s="12"/>
    </row>
    <row r="414" customFormat="false" ht="13.8" hidden="false" customHeight="false" outlineLevel="0" collapsed="false">
      <c r="A414" s="9" t="s">
        <v>218</v>
      </c>
      <c r="B414" s="9" t="s">
        <v>258</v>
      </c>
      <c r="C414" s="1" t="s">
        <v>549</v>
      </c>
      <c r="D414" s="1" t="s">
        <v>548</v>
      </c>
      <c r="E414" s="9" t="n">
        <v>600</v>
      </c>
      <c r="G414" s="12"/>
      <c r="H414" s="12"/>
    </row>
    <row r="415" customFormat="false" ht="13.8" hidden="false" customHeight="false" outlineLevel="0" collapsed="false">
      <c r="A415" s="9" t="s">
        <v>266</v>
      </c>
      <c r="B415" s="9" t="s">
        <v>265</v>
      </c>
      <c r="C415" s="1" t="s">
        <v>549</v>
      </c>
      <c r="D415" s="1" t="s">
        <v>548</v>
      </c>
      <c r="E415" s="9" t="n">
        <v>740</v>
      </c>
      <c r="G415" s="12"/>
      <c r="H415" s="12"/>
    </row>
    <row r="416" customFormat="false" ht="13.8" hidden="false" customHeight="false" outlineLevel="0" collapsed="false">
      <c r="A416" s="9" t="s">
        <v>239</v>
      </c>
      <c r="B416" s="9" t="s">
        <v>265</v>
      </c>
      <c r="C416" s="1" t="s">
        <v>549</v>
      </c>
      <c r="D416" s="1" t="s">
        <v>548</v>
      </c>
      <c r="E416" s="9" t="n">
        <v>500</v>
      </c>
      <c r="G416" s="12"/>
      <c r="H416" s="12"/>
    </row>
    <row r="417" customFormat="false" ht="13.8" hidden="false" customHeight="false" outlineLevel="0" collapsed="false">
      <c r="A417" s="9" t="s">
        <v>270</v>
      </c>
      <c r="B417" s="9" t="s">
        <v>269</v>
      </c>
      <c r="C417" s="1" t="s">
        <v>549</v>
      </c>
      <c r="D417" s="1" t="s">
        <v>548</v>
      </c>
      <c r="E417" s="9" t="n">
        <v>600</v>
      </c>
      <c r="G417" s="12"/>
      <c r="H417" s="12"/>
    </row>
    <row r="418" customFormat="false" ht="13.8" hidden="false" customHeight="false" outlineLevel="0" collapsed="false">
      <c r="A418" s="9" t="s">
        <v>244</v>
      </c>
      <c r="B418" s="9" t="s">
        <v>272</v>
      </c>
      <c r="C418" s="1" t="s">
        <v>549</v>
      </c>
      <c r="D418" s="1" t="s">
        <v>548</v>
      </c>
      <c r="E418" s="9" t="n">
        <v>600</v>
      </c>
      <c r="G418" s="12"/>
      <c r="H418" s="12"/>
    </row>
    <row r="419" customFormat="false" ht="13.8" hidden="false" customHeight="false" outlineLevel="0" collapsed="false">
      <c r="A419" s="9" t="s">
        <v>247</v>
      </c>
      <c r="B419" s="9" t="s">
        <v>252</v>
      </c>
      <c r="C419" s="1" t="s">
        <v>549</v>
      </c>
      <c r="D419" s="1" t="s">
        <v>548</v>
      </c>
      <c r="E419" s="9" t="n">
        <v>500</v>
      </c>
      <c r="G419" s="12"/>
      <c r="H419" s="12"/>
    </row>
    <row r="420" customFormat="false" ht="13.8" hidden="false" customHeight="false" outlineLevel="0" collapsed="false">
      <c r="A420" s="9" t="s">
        <v>247</v>
      </c>
      <c r="B420" s="9" t="s">
        <v>275</v>
      </c>
      <c r="C420" s="1" t="s">
        <v>549</v>
      </c>
      <c r="D420" s="1" t="s">
        <v>548</v>
      </c>
      <c r="E420" s="9" t="n">
        <v>2000</v>
      </c>
      <c r="G420" s="12"/>
      <c r="H420" s="12"/>
    </row>
    <row r="421" customFormat="false" ht="13.8" hidden="false" customHeight="false" outlineLevel="0" collapsed="false">
      <c r="A421" s="9" t="s">
        <v>220</v>
      </c>
      <c r="B421" s="9" t="s">
        <v>198</v>
      </c>
      <c r="C421" s="1" t="s">
        <v>549</v>
      </c>
      <c r="D421" s="1" t="s">
        <v>548</v>
      </c>
      <c r="E421" s="9" t="n">
        <v>500</v>
      </c>
      <c r="G421" s="12"/>
      <c r="H421" s="12"/>
    </row>
    <row r="422" customFormat="false" ht="13.8" hidden="false" customHeight="false" outlineLevel="0" collapsed="false">
      <c r="A422" s="9" t="s">
        <v>220</v>
      </c>
      <c r="B422" s="9" t="s">
        <v>198</v>
      </c>
      <c r="C422" s="1" t="s">
        <v>549</v>
      </c>
      <c r="D422" s="1" t="s">
        <v>548</v>
      </c>
      <c r="E422" s="9" t="n">
        <v>500</v>
      </c>
      <c r="G422" s="12"/>
      <c r="H422" s="12"/>
    </row>
    <row r="423" customFormat="false" ht="13.8" hidden="false" customHeight="false" outlineLevel="0" collapsed="false">
      <c r="A423" s="9" t="s">
        <v>206</v>
      </c>
      <c r="B423" s="9" t="s">
        <v>198</v>
      </c>
      <c r="C423" s="1" t="s">
        <v>549</v>
      </c>
      <c r="D423" s="1" t="s">
        <v>548</v>
      </c>
      <c r="E423" s="9" t="n">
        <v>1000</v>
      </c>
      <c r="G423" s="12"/>
      <c r="H423" s="12"/>
    </row>
    <row r="424" customFormat="false" ht="13.8" hidden="false" customHeight="false" outlineLevel="0" collapsed="false">
      <c r="A424" s="9" t="s">
        <v>206</v>
      </c>
      <c r="B424" s="9" t="s">
        <v>198</v>
      </c>
      <c r="C424" s="1" t="s">
        <v>549</v>
      </c>
      <c r="D424" s="1" t="s">
        <v>548</v>
      </c>
      <c r="E424" s="9" t="n">
        <v>1000</v>
      </c>
      <c r="G424" s="12"/>
      <c r="H424" s="12"/>
    </row>
    <row r="425" customFormat="false" ht="13.8" hidden="false" customHeight="false" outlineLevel="0" collapsed="false">
      <c r="A425" s="9" t="s">
        <v>199</v>
      </c>
      <c r="B425" s="9" t="s">
        <v>198</v>
      </c>
      <c r="C425" s="1" t="s">
        <v>549</v>
      </c>
      <c r="D425" s="1" t="s">
        <v>548</v>
      </c>
      <c r="E425" s="9" t="n">
        <v>500</v>
      </c>
      <c r="G425" s="12"/>
      <c r="H425" s="12"/>
    </row>
    <row r="426" customFormat="false" ht="13.8" hidden="false" customHeight="false" outlineLevel="0" collapsed="false">
      <c r="A426" s="9" t="s">
        <v>199</v>
      </c>
      <c r="B426" s="9" t="s">
        <v>198</v>
      </c>
      <c r="C426" s="1" t="s">
        <v>549</v>
      </c>
      <c r="D426" s="1" t="s">
        <v>548</v>
      </c>
      <c r="E426" s="9" t="n">
        <v>500</v>
      </c>
      <c r="G426" s="12"/>
      <c r="H426" s="12"/>
    </row>
    <row r="427" customFormat="false" ht="13.8" hidden="false" customHeight="false" outlineLevel="0" collapsed="false">
      <c r="A427" s="9" t="s">
        <v>203</v>
      </c>
      <c r="B427" s="9" t="s">
        <v>198</v>
      </c>
      <c r="C427" s="1" t="s">
        <v>549</v>
      </c>
      <c r="D427" s="1" t="s">
        <v>548</v>
      </c>
      <c r="E427" s="9" t="n">
        <v>500</v>
      </c>
      <c r="G427" s="12"/>
      <c r="H427" s="12"/>
    </row>
    <row r="428" customFormat="false" ht="13.8" hidden="false" customHeight="false" outlineLevel="0" collapsed="false">
      <c r="A428" s="9" t="s">
        <v>206</v>
      </c>
      <c r="B428" s="9" t="s">
        <v>205</v>
      </c>
      <c r="C428" s="1" t="s">
        <v>549</v>
      </c>
      <c r="D428" s="1" t="s">
        <v>548</v>
      </c>
      <c r="E428" s="9" t="n">
        <v>1000</v>
      </c>
      <c r="G428" s="12"/>
      <c r="H428" s="12"/>
    </row>
    <row r="429" customFormat="false" ht="13.8" hidden="false" customHeight="false" outlineLevel="0" collapsed="false">
      <c r="A429" s="9" t="s">
        <v>212</v>
      </c>
      <c r="B429" s="9" t="s">
        <v>205</v>
      </c>
      <c r="C429" s="1" t="s">
        <v>549</v>
      </c>
      <c r="D429" s="1" t="s">
        <v>548</v>
      </c>
      <c r="E429" s="9" t="n">
        <v>1000</v>
      </c>
      <c r="G429" s="12"/>
      <c r="H429" s="12"/>
    </row>
    <row r="430" customFormat="false" ht="13.8" hidden="false" customHeight="false" outlineLevel="0" collapsed="false">
      <c r="A430" s="9" t="s">
        <v>212</v>
      </c>
      <c r="B430" s="9" t="s">
        <v>205</v>
      </c>
      <c r="C430" s="1" t="s">
        <v>549</v>
      </c>
      <c r="D430" s="1" t="s">
        <v>548</v>
      </c>
      <c r="E430" s="9" t="n">
        <v>1000</v>
      </c>
      <c r="G430" s="12"/>
      <c r="H430" s="12"/>
    </row>
    <row r="431" customFormat="false" ht="13.8" hidden="false" customHeight="false" outlineLevel="0" collapsed="false">
      <c r="A431" s="9" t="s">
        <v>199</v>
      </c>
      <c r="B431" s="9" t="s">
        <v>220</v>
      </c>
      <c r="C431" s="1" t="s">
        <v>549</v>
      </c>
      <c r="D431" s="1" t="s">
        <v>548</v>
      </c>
      <c r="E431" s="9" t="n">
        <v>1000</v>
      </c>
      <c r="G431" s="12"/>
      <c r="H431" s="12"/>
    </row>
    <row r="432" customFormat="false" ht="13.8" hidden="false" customHeight="false" outlineLevel="0" collapsed="false">
      <c r="A432" s="9" t="s">
        <v>199</v>
      </c>
      <c r="B432" s="9" t="s">
        <v>220</v>
      </c>
      <c r="C432" s="1" t="s">
        <v>549</v>
      </c>
      <c r="D432" s="1" t="s">
        <v>548</v>
      </c>
      <c r="E432" s="9" t="n">
        <v>1000</v>
      </c>
      <c r="G432" s="12"/>
      <c r="H432" s="12"/>
    </row>
    <row r="433" customFormat="false" ht="13.8" hidden="false" customHeight="false" outlineLevel="0" collapsed="false">
      <c r="A433" s="9" t="s">
        <v>220</v>
      </c>
      <c r="B433" s="9" t="s">
        <v>206</v>
      </c>
      <c r="C433" s="1" t="s">
        <v>549</v>
      </c>
      <c r="D433" s="1" t="s">
        <v>548</v>
      </c>
      <c r="E433" s="9" t="n">
        <v>1000</v>
      </c>
      <c r="G433" s="12"/>
      <c r="H433" s="12"/>
    </row>
    <row r="434" customFormat="false" ht="13.8" hidden="false" customHeight="false" outlineLevel="0" collapsed="false">
      <c r="A434" s="9" t="s">
        <v>232</v>
      </c>
      <c r="B434" s="9" t="s">
        <v>208</v>
      </c>
      <c r="C434" s="1" t="s">
        <v>549</v>
      </c>
      <c r="D434" s="1" t="s">
        <v>548</v>
      </c>
      <c r="E434" s="9" t="n">
        <v>700</v>
      </c>
      <c r="G434" s="12"/>
      <c r="H434" s="12"/>
    </row>
    <row r="435" customFormat="false" ht="13.8" hidden="false" customHeight="false" outlineLevel="0" collapsed="false">
      <c r="A435" s="9" t="s">
        <v>232</v>
      </c>
      <c r="B435" s="9" t="s">
        <v>208</v>
      </c>
      <c r="C435" s="1" t="s">
        <v>549</v>
      </c>
      <c r="D435" s="1" t="s">
        <v>548</v>
      </c>
      <c r="E435" s="9" t="n">
        <v>700</v>
      </c>
      <c r="G435" s="12"/>
      <c r="H435" s="12"/>
    </row>
    <row r="436" customFormat="false" ht="13.8" hidden="false" customHeight="false" outlineLevel="0" collapsed="false">
      <c r="A436" s="9" t="s">
        <v>199</v>
      </c>
      <c r="B436" s="9" t="s">
        <v>208</v>
      </c>
      <c r="C436" s="1" t="s">
        <v>549</v>
      </c>
      <c r="D436" s="1" t="s">
        <v>548</v>
      </c>
      <c r="E436" s="9" t="n">
        <v>1000</v>
      </c>
      <c r="G436" s="12"/>
      <c r="H436" s="12"/>
    </row>
    <row r="437" customFormat="false" ht="13.8" hidden="false" customHeight="false" outlineLevel="0" collapsed="false">
      <c r="A437" s="9" t="s">
        <v>199</v>
      </c>
      <c r="B437" s="9" t="s">
        <v>208</v>
      </c>
      <c r="C437" s="1" t="s">
        <v>549</v>
      </c>
      <c r="D437" s="1" t="s">
        <v>548</v>
      </c>
      <c r="E437" s="9" t="n">
        <v>1000</v>
      </c>
      <c r="G437" s="12"/>
      <c r="H437" s="12"/>
    </row>
    <row r="438" customFormat="false" ht="13.8" hidden="false" customHeight="false" outlineLevel="0" collapsed="false">
      <c r="A438" s="9" t="s">
        <v>324</v>
      </c>
      <c r="B438" s="9" t="s">
        <v>323</v>
      </c>
      <c r="C438" s="1" t="s">
        <v>549</v>
      </c>
      <c r="D438" s="1" t="s">
        <v>548</v>
      </c>
      <c r="E438" s="9" t="n">
        <v>500</v>
      </c>
      <c r="G438" s="12"/>
      <c r="H438" s="12"/>
    </row>
    <row r="439" customFormat="false" ht="13.8" hidden="false" customHeight="false" outlineLevel="0" collapsed="false">
      <c r="A439" s="9" t="s">
        <v>324</v>
      </c>
      <c r="B439" s="9" t="s">
        <v>323</v>
      </c>
      <c r="C439" s="1" t="s">
        <v>549</v>
      </c>
      <c r="D439" s="1" t="s">
        <v>548</v>
      </c>
      <c r="E439" s="9" t="n">
        <v>500</v>
      </c>
      <c r="G439" s="12"/>
      <c r="H439" s="12"/>
    </row>
    <row r="440" customFormat="false" ht="13.8" hidden="false" customHeight="false" outlineLevel="0" collapsed="false">
      <c r="A440" s="9" t="s">
        <v>215</v>
      </c>
      <c r="B440" s="9" t="s">
        <v>212</v>
      </c>
      <c r="C440" s="1" t="s">
        <v>549</v>
      </c>
      <c r="D440" s="1" t="s">
        <v>548</v>
      </c>
      <c r="E440" s="9" t="n">
        <v>1000</v>
      </c>
      <c r="G440" s="12"/>
      <c r="H440" s="12"/>
    </row>
    <row r="441" customFormat="false" ht="13.8" hidden="false" customHeight="false" outlineLevel="0" collapsed="false">
      <c r="A441" s="9" t="s">
        <v>215</v>
      </c>
      <c r="B441" s="9" t="s">
        <v>212</v>
      </c>
      <c r="C441" s="1" t="s">
        <v>549</v>
      </c>
      <c r="D441" s="1" t="s">
        <v>548</v>
      </c>
      <c r="E441" s="9" t="n">
        <v>1000</v>
      </c>
      <c r="G441" s="12"/>
      <c r="H441" s="12"/>
    </row>
    <row r="442" customFormat="false" ht="13.8" hidden="false" customHeight="false" outlineLevel="0" collapsed="false">
      <c r="A442" s="9" t="s">
        <v>232</v>
      </c>
      <c r="B442" s="9" t="s">
        <v>215</v>
      </c>
      <c r="C442" s="1" t="s">
        <v>549</v>
      </c>
      <c r="D442" s="1" t="s">
        <v>548</v>
      </c>
      <c r="E442" s="9" t="n">
        <v>700</v>
      </c>
      <c r="G442" s="12"/>
      <c r="H442" s="12"/>
    </row>
    <row r="443" customFormat="false" ht="13.8" hidden="false" customHeight="false" outlineLevel="0" collapsed="false">
      <c r="A443" s="9" t="s">
        <v>233</v>
      </c>
      <c r="B443" s="9" t="s">
        <v>215</v>
      </c>
      <c r="C443" s="1" t="s">
        <v>549</v>
      </c>
      <c r="D443" s="1" t="s">
        <v>548</v>
      </c>
      <c r="E443" s="9" t="n">
        <v>700</v>
      </c>
      <c r="G443" s="12"/>
      <c r="H443" s="12"/>
    </row>
    <row r="444" customFormat="false" ht="13.8" hidden="false" customHeight="false" outlineLevel="0" collapsed="false">
      <c r="A444" s="9" t="s">
        <v>212</v>
      </c>
      <c r="B444" s="9" t="s">
        <v>206</v>
      </c>
      <c r="C444" s="1" t="s">
        <v>549</v>
      </c>
      <c r="D444" s="1" t="s">
        <v>548</v>
      </c>
      <c r="E444" s="9" t="n">
        <v>1000</v>
      </c>
      <c r="G444" s="12"/>
      <c r="H444" s="12"/>
    </row>
    <row r="445" customFormat="false" ht="13.8" hidden="false" customHeight="false" outlineLevel="0" collapsed="false">
      <c r="A445" s="9" t="s">
        <v>241</v>
      </c>
      <c r="B445" s="9" t="s">
        <v>198</v>
      </c>
      <c r="C445" s="1" t="s">
        <v>549</v>
      </c>
      <c r="D445" s="1" t="s">
        <v>548</v>
      </c>
      <c r="E445" s="9" t="n">
        <v>500</v>
      </c>
      <c r="G445" s="12"/>
      <c r="H445" s="12"/>
    </row>
    <row r="446" customFormat="false" ht="13.8" hidden="false" customHeight="false" outlineLevel="0" collapsed="false">
      <c r="A446" s="9" t="s">
        <v>241</v>
      </c>
      <c r="B446" s="9" t="s">
        <v>198</v>
      </c>
      <c r="C446" s="1" t="s">
        <v>549</v>
      </c>
      <c r="D446" s="1" t="s">
        <v>548</v>
      </c>
      <c r="E446" s="9" t="n">
        <v>500</v>
      </c>
      <c r="G446" s="12"/>
      <c r="H446" s="12"/>
    </row>
    <row r="447" customFormat="false" ht="13.8" hidden="false" customHeight="false" outlineLevel="0" collapsed="false">
      <c r="A447" s="9" t="s">
        <v>265</v>
      </c>
      <c r="B447" s="9" t="s">
        <v>198</v>
      </c>
      <c r="C447" s="1" t="s">
        <v>549</v>
      </c>
      <c r="D447" s="1" t="s">
        <v>548</v>
      </c>
      <c r="E447" s="9" t="n">
        <v>1000</v>
      </c>
      <c r="G447" s="12"/>
      <c r="H447" s="12"/>
    </row>
    <row r="448" customFormat="false" ht="13.8" hidden="false" customHeight="false" outlineLevel="0" collapsed="false">
      <c r="A448" s="9" t="s">
        <v>379</v>
      </c>
      <c r="B448" s="9" t="s">
        <v>206</v>
      </c>
      <c r="C448" s="1" t="s">
        <v>549</v>
      </c>
      <c r="D448" s="1" t="s">
        <v>548</v>
      </c>
      <c r="E448" s="9" t="n">
        <v>500</v>
      </c>
      <c r="G448" s="12"/>
      <c r="H448" s="12"/>
    </row>
    <row r="449" customFormat="false" ht="13.8" hidden="false" customHeight="false" outlineLevel="0" collapsed="false">
      <c r="A449" s="9" t="s">
        <v>379</v>
      </c>
      <c r="B449" s="9" t="s">
        <v>206</v>
      </c>
      <c r="C449" s="1" t="s">
        <v>549</v>
      </c>
      <c r="D449" s="1" t="s">
        <v>548</v>
      </c>
      <c r="E449" s="9" t="n">
        <v>500</v>
      </c>
      <c r="G449" s="12"/>
      <c r="H449" s="12"/>
    </row>
    <row r="450" customFormat="false" ht="13.8" hidden="false" customHeight="false" outlineLevel="0" collapsed="false">
      <c r="A450" s="9" t="s">
        <v>226</v>
      </c>
      <c r="B450" s="9" t="s">
        <v>379</v>
      </c>
      <c r="C450" s="1" t="s">
        <v>549</v>
      </c>
      <c r="D450" s="1" t="s">
        <v>548</v>
      </c>
      <c r="E450" s="9" t="n">
        <v>600</v>
      </c>
      <c r="G450" s="12"/>
      <c r="H450" s="12"/>
    </row>
    <row r="451" customFormat="false" ht="13.8" hidden="false" customHeight="false" outlineLevel="0" collapsed="false">
      <c r="A451" s="9" t="s">
        <v>244</v>
      </c>
      <c r="B451" s="9" t="s">
        <v>379</v>
      </c>
      <c r="C451" s="1" t="s">
        <v>549</v>
      </c>
      <c r="D451" s="1" t="s">
        <v>548</v>
      </c>
      <c r="E451" s="9" t="n">
        <v>500</v>
      </c>
      <c r="G451" s="12"/>
      <c r="H451" s="12"/>
    </row>
    <row r="452" customFormat="false" ht="13.8" hidden="false" customHeight="false" outlineLevel="0" collapsed="false">
      <c r="A452" s="9" t="s">
        <v>247</v>
      </c>
      <c r="B452" s="9" t="s">
        <v>226</v>
      </c>
      <c r="C452" s="1" t="s">
        <v>549</v>
      </c>
      <c r="D452" s="1" t="s">
        <v>548</v>
      </c>
      <c r="E452" s="9" t="n">
        <v>500</v>
      </c>
      <c r="G452" s="12"/>
      <c r="H452" s="12"/>
    </row>
    <row r="453" customFormat="false" ht="13.8" hidden="false" customHeight="false" outlineLevel="0" collapsed="false">
      <c r="A453" s="9" t="s">
        <v>247</v>
      </c>
      <c r="B453" s="9" t="s">
        <v>226</v>
      </c>
      <c r="C453" s="1" t="s">
        <v>549</v>
      </c>
      <c r="D453" s="1" t="s">
        <v>548</v>
      </c>
      <c r="E453" s="9" t="n">
        <v>500</v>
      </c>
      <c r="G453" s="12"/>
      <c r="H453" s="12"/>
    </row>
    <row r="454" customFormat="false" ht="13.8" hidden="false" customHeight="false" outlineLevel="0" collapsed="false">
      <c r="A454" s="9" t="s">
        <v>247</v>
      </c>
      <c r="B454" s="9" t="s">
        <v>226</v>
      </c>
      <c r="C454" s="1" t="s">
        <v>549</v>
      </c>
      <c r="D454" s="1" t="s">
        <v>548</v>
      </c>
      <c r="E454" s="9" t="n">
        <v>500</v>
      </c>
      <c r="G454" s="12"/>
      <c r="H454" s="12"/>
    </row>
    <row r="455" customFormat="false" ht="13.8" hidden="false" customHeight="false" outlineLevel="0" collapsed="false">
      <c r="A455" s="9" t="s">
        <v>247</v>
      </c>
      <c r="B455" s="9" t="s">
        <v>226</v>
      </c>
      <c r="C455" s="1" t="s">
        <v>549</v>
      </c>
      <c r="D455" s="1" t="s">
        <v>548</v>
      </c>
      <c r="E455" s="9" t="n">
        <v>500</v>
      </c>
      <c r="G455" s="12"/>
      <c r="H455" s="12"/>
    </row>
    <row r="456" customFormat="false" ht="13.8" hidden="false" customHeight="false" outlineLevel="0" collapsed="false">
      <c r="A456" s="9" t="s">
        <v>247</v>
      </c>
      <c r="B456" s="9" t="s">
        <v>226</v>
      </c>
      <c r="C456" s="1" t="s">
        <v>549</v>
      </c>
      <c r="D456" s="1" t="s">
        <v>548</v>
      </c>
      <c r="E456" s="9" t="n">
        <v>500</v>
      </c>
      <c r="G456" s="12"/>
      <c r="H456" s="12"/>
    </row>
    <row r="457" customFormat="false" ht="13.8" hidden="false" customHeight="false" outlineLevel="0" collapsed="false">
      <c r="A457" s="9" t="s">
        <v>247</v>
      </c>
      <c r="B457" s="9" t="s">
        <v>226</v>
      </c>
      <c r="C457" s="1" t="s">
        <v>549</v>
      </c>
      <c r="D457" s="1" t="s">
        <v>548</v>
      </c>
      <c r="E457" s="9" t="n">
        <v>500</v>
      </c>
      <c r="G457" s="12"/>
      <c r="H457" s="12"/>
    </row>
    <row r="458" customFormat="false" ht="13.8" hidden="false" customHeight="false" outlineLevel="0" collapsed="false">
      <c r="A458" s="9" t="s">
        <v>250</v>
      </c>
      <c r="B458" s="9" t="s">
        <v>249</v>
      </c>
      <c r="C458" s="1" t="s">
        <v>549</v>
      </c>
      <c r="D458" s="1" t="s">
        <v>548</v>
      </c>
      <c r="E458" s="9" t="n">
        <v>700</v>
      </c>
      <c r="G458" s="12"/>
      <c r="H458" s="12"/>
    </row>
    <row r="459" customFormat="false" ht="13.8" hidden="false" customHeight="false" outlineLevel="0" collapsed="false">
      <c r="A459" s="9" t="s">
        <v>252</v>
      </c>
      <c r="B459" s="9" t="s">
        <v>249</v>
      </c>
      <c r="C459" s="1" t="s">
        <v>549</v>
      </c>
      <c r="D459" s="1" t="s">
        <v>548</v>
      </c>
      <c r="E459" s="9" t="n">
        <v>1000</v>
      </c>
      <c r="G459" s="12"/>
      <c r="H459" s="12"/>
    </row>
    <row r="460" customFormat="false" ht="13.8" hidden="false" customHeight="false" outlineLevel="0" collapsed="false">
      <c r="A460" s="9" t="s">
        <v>254</v>
      </c>
      <c r="B460" s="9" t="s">
        <v>250</v>
      </c>
      <c r="C460" s="1" t="s">
        <v>549</v>
      </c>
      <c r="D460" s="1" t="s">
        <v>548</v>
      </c>
      <c r="E460" s="9" t="n">
        <v>800</v>
      </c>
      <c r="G460" s="12"/>
      <c r="H460" s="12"/>
    </row>
    <row r="461" customFormat="false" ht="13.8" hidden="false" customHeight="false" outlineLevel="0" collapsed="false">
      <c r="A461" s="9" t="s">
        <v>275</v>
      </c>
      <c r="B461" s="9" t="s">
        <v>250</v>
      </c>
      <c r="C461" s="1" t="s">
        <v>549</v>
      </c>
      <c r="D461" s="1" t="s">
        <v>548</v>
      </c>
      <c r="E461" s="9" t="n">
        <v>500</v>
      </c>
      <c r="G461" s="12"/>
      <c r="H461" s="12"/>
    </row>
    <row r="462" customFormat="false" ht="13.8" hidden="false" customHeight="false" outlineLevel="0" collapsed="false">
      <c r="A462" s="9" t="s">
        <v>247</v>
      </c>
      <c r="B462" s="9" t="s">
        <v>250</v>
      </c>
      <c r="C462" s="1" t="s">
        <v>549</v>
      </c>
      <c r="D462" s="1" t="s">
        <v>548</v>
      </c>
      <c r="E462" s="9" t="n">
        <v>500</v>
      </c>
      <c r="G462" s="12"/>
      <c r="H462" s="12"/>
    </row>
    <row r="463" customFormat="false" ht="13.8" hidden="false" customHeight="false" outlineLevel="0" collapsed="false">
      <c r="A463" s="9" t="s">
        <v>203</v>
      </c>
      <c r="B463" s="9" t="s">
        <v>237</v>
      </c>
      <c r="C463" s="1" t="s">
        <v>549</v>
      </c>
      <c r="D463" s="1" t="s">
        <v>548</v>
      </c>
      <c r="E463" s="9" t="n">
        <v>1000</v>
      </c>
      <c r="G463" s="12"/>
      <c r="H463" s="12"/>
    </row>
    <row r="464" customFormat="false" ht="13.8" hidden="false" customHeight="false" outlineLevel="0" collapsed="false">
      <c r="A464" s="9" t="s">
        <v>203</v>
      </c>
      <c r="B464" s="9" t="s">
        <v>265</v>
      </c>
      <c r="C464" s="1" t="s">
        <v>549</v>
      </c>
      <c r="D464" s="1" t="s">
        <v>548</v>
      </c>
      <c r="E464" s="9" t="n">
        <v>500</v>
      </c>
      <c r="G464" s="12"/>
      <c r="H464" s="12"/>
    </row>
    <row r="465" customFormat="false" ht="13.8" hidden="false" customHeight="false" outlineLevel="0" collapsed="false">
      <c r="A465" s="9" t="s">
        <v>203</v>
      </c>
      <c r="B465" s="9" t="s">
        <v>265</v>
      </c>
      <c r="C465" s="1" t="s">
        <v>549</v>
      </c>
      <c r="D465" s="1" t="s">
        <v>548</v>
      </c>
      <c r="E465" s="9" t="n">
        <v>500</v>
      </c>
      <c r="G465" s="12"/>
      <c r="H465" s="12"/>
    </row>
    <row r="466" customFormat="false" ht="13.8" hidden="false" customHeight="false" outlineLevel="0" collapsed="false">
      <c r="A466" s="9" t="s">
        <v>242</v>
      </c>
      <c r="B466" s="9" t="s">
        <v>265</v>
      </c>
      <c r="C466" s="1" t="s">
        <v>549</v>
      </c>
      <c r="D466" s="1" t="s">
        <v>548</v>
      </c>
      <c r="E466" s="9" t="n">
        <v>500</v>
      </c>
      <c r="G466" s="12"/>
      <c r="H466" s="12"/>
    </row>
    <row r="467" customFormat="false" ht="13.8" hidden="false" customHeight="false" outlineLevel="0" collapsed="false">
      <c r="A467" s="9" t="s">
        <v>242</v>
      </c>
      <c r="B467" s="9" t="s">
        <v>265</v>
      </c>
      <c r="C467" s="1" t="s">
        <v>549</v>
      </c>
      <c r="D467" s="1" t="s">
        <v>548</v>
      </c>
      <c r="E467" s="9" t="n">
        <v>500</v>
      </c>
      <c r="G467" s="12"/>
      <c r="H467" s="12"/>
    </row>
    <row r="468" customFormat="false" ht="13.8" hidden="false" customHeight="false" outlineLevel="0" collapsed="false">
      <c r="A468" s="9" t="s">
        <v>270</v>
      </c>
      <c r="B468" s="9" t="s">
        <v>269</v>
      </c>
      <c r="C468" s="1" t="s">
        <v>549</v>
      </c>
      <c r="D468" s="1" t="s">
        <v>548</v>
      </c>
      <c r="E468" s="9" t="n">
        <v>500</v>
      </c>
      <c r="G468" s="12"/>
      <c r="H468" s="12"/>
    </row>
    <row r="469" customFormat="false" ht="13.8" hidden="false" customHeight="false" outlineLevel="0" collapsed="false">
      <c r="A469" s="9" t="s">
        <v>270</v>
      </c>
      <c r="B469" s="9" t="s">
        <v>269</v>
      </c>
      <c r="C469" s="1" t="s">
        <v>549</v>
      </c>
      <c r="D469" s="1" t="s">
        <v>548</v>
      </c>
      <c r="E469" s="9" t="n">
        <v>500</v>
      </c>
      <c r="G469" s="12"/>
      <c r="H469" s="12"/>
    </row>
    <row r="470" customFormat="false" ht="13.8" hidden="false" customHeight="false" outlineLevel="0" collapsed="false">
      <c r="A470" s="9" t="s">
        <v>252</v>
      </c>
      <c r="B470" s="9" t="s">
        <v>272</v>
      </c>
      <c r="C470" s="1" t="s">
        <v>549</v>
      </c>
      <c r="D470" s="1" t="s">
        <v>548</v>
      </c>
      <c r="E470" s="9" t="n">
        <v>500</v>
      </c>
      <c r="G470" s="12"/>
      <c r="H470" s="12"/>
    </row>
    <row r="471" customFormat="false" ht="13.8" hidden="false" customHeight="false" outlineLevel="0" collapsed="false">
      <c r="A471" s="9" t="s">
        <v>252</v>
      </c>
      <c r="B471" s="9" t="s">
        <v>272</v>
      </c>
      <c r="C471" s="1" t="s">
        <v>549</v>
      </c>
      <c r="D471" s="1" t="s">
        <v>548</v>
      </c>
      <c r="E471" s="9" t="n">
        <v>500</v>
      </c>
      <c r="G471" s="12"/>
      <c r="H471" s="12"/>
    </row>
    <row r="472" customFormat="false" ht="13.8" hidden="false" customHeight="false" outlineLevel="0" collapsed="false">
      <c r="A472" s="9" t="s">
        <v>252</v>
      </c>
      <c r="B472" s="9" t="s">
        <v>272</v>
      </c>
      <c r="C472" s="1" t="s">
        <v>549</v>
      </c>
      <c r="D472" s="1" t="s">
        <v>548</v>
      </c>
      <c r="E472" s="9" t="n">
        <v>500</v>
      </c>
      <c r="G472" s="12"/>
      <c r="H472" s="12"/>
    </row>
    <row r="473" customFormat="false" ht="13.8" hidden="false" customHeight="false" outlineLevel="0" collapsed="false">
      <c r="A473" s="9" t="s">
        <v>259</v>
      </c>
      <c r="B473" s="9" t="s">
        <v>269</v>
      </c>
      <c r="C473" s="1" t="s">
        <v>549</v>
      </c>
      <c r="D473" s="1" t="s">
        <v>548</v>
      </c>
      <c r="E473" s="9" t="n">
        <v>300</v>
      </c>
      <c r="G473" s="12"/>
      <c r="H473" s="12"/>
    </row>
    <row r="474" customFormat="false" ht="13.8" hidden="false" customHeight="false" outlineLevel="0" collapsed="false">
      <c r="A474" s="9" t="s">
        <v>259</v>
      </c>
      <c r="B474" s="9" t="s">
        <v>269</v>
      </c>
      <c r="C474" s="1" t="s">
        <v>549</v>
      </c>
      <c r="D474" s="1" t="s">
        <v>548</v>
      </c>
      <c r="E474" s="9" t="n">
        <v>200</v>
      </c>
      <c r="G474" s="12"/>
      <c r="H474" s="12"/>
    </row>
    <row r="475" customFormat="false" ht="13.8" hidden="false" customHeight="false" outlineLevel="0" collapsed="false">
      <c r="A475" s="9" t="s">
        <v>199</v>
      </c>
      <c r="B475" s="9" t="s">
        <v>269</v>
      </c>
      <c r="C475" s="1" t="s">
        <v>549</v>
      </c>
      <c r="D475" s="1" t="s">
        <v>548</v>
      </c>
      <c r="E475" s="9" t="n">
        <v>2000</v>
      </c>
      <c r="G475" s="12"/>
      <c r="H475" s="12"/>
    </row>
    <row r="476" customFormat="false" ht="13.8" hidden="false" customHeight="false" outlineLevel="0" collapsed="false">
      <c r="A476" s="9" t="s">
        <v>491</v>
      </c>
      <c r="B476" s="9" t="s">
        <v>269</v>
      </c>
      <c r="C476" s="1" t="s">
        <v>549</v>
      </c>
      <c r="D476" s="1" t="s">
        <v>548</v>
      </c>
      <c r="E476" s="9" t="n">
        <v>0</v>
      </c>
      <c r="G476" s="12"/>
      <c r="H476" s="12"/>
    </row>
    <row r="477" customFormat="false" ht="13.8" hidden="false" customHeight="false" outlineLevel="0" collapsed="false">
      <c r="A477" s="9" t="s">
        <v>491</v>
      </c>
      <c r="B477" s="9" t="s">
        <v>269</v>
      </c>
      <c r="C477" s="1" t="s">
        <v>549</v>
      </c>
      <c r="D477" s="1" t="s">
        <v>548</v>
      </c>
      <c r="E477" s="9" t="n">
        <v>500</v>
      </c>
      <c r="G477" s="12"/>
      <c r="H477" s="12"/>
    </row>
    <row r="478" customFormat="false" ht="13.8" hidden="false" customHeight="false" outlineLevel="0" collapsed="false">
      <c r="A478" s="9" t="s">
        <v>259</v>
      </c>
      <c r="B478" s="9" t="s">
        <v>269</v>
      </c>
      <c r="C478" s="1" t="s">
        <v>549</v>
      </c>
      <c r="D478" s="1" t="s">
        <v>548</v>
      </c>
      <c r="E478" s="9" t="n">
        <v>600</v>
      </c>
      <c r="G478" s="12"/>
      <c r="H478" s="12"/>
    </row>
    <row r="479" customFormat="false" ht="13.8" hidden="false" customHeight="false" outlineLevel="0" collapsed="false">
      <c r="A479" s="9" t="s">
        <v>491</v>
      </c>
      <c r="B479" s="9" t="s">
        <v>269</v>
      </c>
      <c r="C479" s="1" t="s">
        <v>549</v>
      </c>
      <c r="D479" s="1" t="s">
        <v>548</v>
      </c>
      <c r="E479" s="9" t="n">
        <v>500</v>
      </c>
      <c r="G479" s="12"/>
      <c r="H479" s="12"/>
    </row>
    <row r="480" customFormat="false" ht="13.8" hidden="false" customHeight="false" outlineLevel="0" collapsed="false">
      <c r="A480" s="9" t="s">
        <v>199</v>
      </c>
      <c r="B480" s="9" t="s">
        <v>491</v>
      </c>
      <c r="C480" s="1" t="s">
        <v>549</v>
      </c>
      <c r="D480" s="1" t="s">
        <v>548</v>
      </c>
      <c r="E480" s="9" t="n">
        <v>2000</v>
      </c>
      <c r="G480" s="12"/>
      <c r="H480" s="12"/>
    </row>
    <row r="481" customFormat="false" ht="13.8" hidden="false" customHeight="false" outlineLevel="0" collapsed="false">
      <c r="A481" s="9" t="s">
        <v>491</v>
      </c>
      <c r="B481" s="9" t="s">
        <v>269</v>
      </c>
      <c r="C481" s="1" t="s">
        <v>549</v>
      </c>
      <c r="D481" s="1" t="s">
        <v>548</v>
      </c>
      <c r="E481" s="9" t="n">
        <v>600</v>
      </c>
      <c r="G481" s="12"/>
      <c r="H481" s="12"/>
    </row>
    <row r="482" customFormat="false" ht="13.8" hidden="false" customHeight="false" outlineLevel="0" collapsed="false">
      <c r="A482" s="9" t="s">
        <v>498</v>
      </c>
      <c r="B482" s="9" t="s">
        <v>323</v>
      </c>
      <c r="C482" s="1" t="s">
        <v>549</v>
      </c>
      <c r="D482" s="1" t="s">
        <v>548</v>
      </c>
      <c r="E482" s="9" t="n">
        <v>2000</v>
      </c>
      <c r="G482" s="12"/>
      <c r="H482" s="12"/>
    </row>
    <row r="483" customFormat="false" ht="13.8" hidden="false" customHeight="false" outlineLevel="0" collapsed="false">
      <c r="A483" s="9" t="s">
        <v>498</v>
      </c>
      <c r="B483" s="9" t="s">
        <v>259</v>
      </c>
      <c r="C483" s="1" t="s">
        <v>549</v>
      </c>
      <c r="D483" s="1" t="s">
        <v>548</v>
      </c>
      <c r="E483" s="9" t="n">
        <v>2000</v>
      </c>
      <c r="G483" s="12"/>
      <c r="H483" s="12"/>
    </row>
    <row r="484" customFormat="false" ht="13.8" hidden="false" customHeight="false" outlineLevel="0" collapsed="false">
      <c r="A484" s="9" t="s">
        <v>259</v>
      </c>
      <c r="B484" s="9" t="s">
        <v>269</v>
      </c>
      <c r="C484" s="1" t="s">
        <v>549</v>
      </c>
      <c r="D484" s="1" t="s">
        <v>548</v>
      </c>
      <c r="E484" s="9" t="n">
        <v>2000</v>
      </c>
      <c r="G484" s="12"/>
      <c r="H484" s="12"/>
    </row>
    <row r="485" customFormat="false" ht="13.8" hidden="false" customHeight="false" outlineLevel="0" collapsed="false">
      <c r="A485" s="9" t="s">
        <v>269</v>
      </c>
      <c r="B485" s="9" t="s">
        <v>502</v>
      </c>
      <c r="C485" s="1" t="s">
        <v>549</v>
      </c>
      <c r="D485" s="1" t="s">
        <v>548</v>
      </c>
      <c r="E485" s="9" t="n">
        <v>1000</v>
      </c>
      <c r="G485" s="12"/>
      <c r="H485" s="12"/>
    </row>
    <row r="486" customFormat="false" ht="13.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TaxCatchAll xmlns="e3fb2008-9808-4f29-aa32-2f66631018ed">
      <Value>3</Value>
      <Value>2</Value>
      <Value>1</Value>
    </TaxCatchAll>
    <MYENTSOE_SiteType xmlns="9b216c6c-829b-4bd6-a7b8-61d756915eca">MYENTSOE</MYENTSOE_SiteType>
    <o7c6620afba5434aaae6ef9be3dfdbd2 xmlns="9b216c6c-829b-4bd6-a7b8-61d756915eca">
      <Terms xmlns="http://schemas.microsoft.com/office/infopath/2007/PartnerControls">
        <TermInfo>
          <TermName>Extranet</TermName>
          <TermId>922fc1ba-0c8d-4fbf-b30d-83722d0f30f2</TermId>
        </TermInfo>
      </Terms>
    </o7c6620afba5434aaae6ef9be3dfdbd2>
    <h9003f7b9f494612977846e0050fed71 xmlns="9b216c6c-829b-4bd6-a7b8-61d756915eca">
      <Terms xmlns="http://schemas.microsoft.com/office/infopath/2007/PartnerControls">
        <TermInfo>
          <TermName>SDC</TermName>
          <TermId>414c202c-9255-45c1-8290-a69e6acf8153</TermId>
        </TermInfo>
      </Terms>
    </h9003f7b9f494612977846e0050fed71>
    <pbc0f0de950a4a35a97ec71d1ea28ac6 xmlns="9b216c6c-829b-4bd6-a7b8-61d756915eca">
      <Terms xmlns="http://schemas.microsoft.com/office/infopath/2007/PartnerControls"/>
    </pbc0f0de950a4a35a97ec71d1ea28ac6>
    <cd67ed8a84074a6585f4dff49f8697b2 xmlns="9b216c6c-829b-4bd6-a7b8-61d756915eca">
      <Terms xmlns="http://schemas.microsoft.com/office/infopath/2007/PartnerControls"/>
    </cd67ed8a84074a6585f4dff49f8697b2>
    <ka6aaa3f9c694727892a9d4c842b0cb7 xmlns="9b216c6c-829b-4bd6-a7b8-61d756915eca">
      <Terms xmlns="http://schemas.microsoft.com/office/infopath/2007/PartnerControls"/>
    </ka6aaa3f9c694727892a9d4c842b0cb7>
    <ff9ab3467cf04ce9aa1cff0f5f816655 xmlns="9b216c6c-829b-4bd6-a7b8-61d756915eca">
      <Terms xmlns="http://schemas.microsoft.com/office/infopath/2007/PartnerControls">
        <TermInfo>
          <TermName>Shared</TermName>
          <TermId>04da8cfa-2b68-4725-9db5-e7b66ab623e6</TermId>
        </TermInfo>
      </Terms>
    </ff9ab3467cf04ce9aa1cff0f5f816655>
    <h00809838d2c4acabc9e4b8e74fa1ba3 xmlns="9b216c6c-829b-4bd6-a7b8-61d756915eca">
      <Terms xmlns="http://schemas.microsoft.com/office/infopath/2007/PartnerControls"/>
    </h00809838d2c4acabc9e4b8e74fa1ba3>
    <f25aee4750b24120b97bdbb6766dd771 xmlns="9b216c6c-829b-4bd6-a7b8-61d756915eca">
      <Terms xmlns="http://schemas.microsoft.com/office/infopath/2007/PartnerControls"/>
    </f25aee4750b24120b97bdbb6766dd771>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A5B6B50967DEB4BA6EFC3DC4B3E4C2D" ma:contentTypeVersion="25" ma:contentTypeDescription="Create a new document." ma:contentTypeScope="" ma:versionID="f1f9003c72b0ce3e143193d073f3d1a7">
  <xsd:schema xmlns:xsd="http://www.w3.org/2001/XMLSchema" xmlns:xs="http://www.w3.org/2001/XMLSchema" xmlns:p="http://schemas.microsoft.com/office/2006/metadata/properties" xmlns:ns2="9b216c6c-829b-4bd6-a7b8-61d756915eca" xmlns:ns3="e3fb2008-9808-4f29-aa32-2f66631018ed" targetNamespace="http://schemas.microsoft.com/office/2006/metadata/properties" ma:root="true" ma:fieldsID="c4b0a95e95378f5f31da9657be19360d" ns2:_="" ns3:_="">
    <xsd:import namespace="9b216c6c-829b-4bd6-a7b8-61d756915eca"/>
    <xsd:import namespace="e3fb2008-9808-4f29-aa32-2f66631018e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YENTSOE_SiteType" minOccurs="0"/>
                <xsd:element ref="ns2:o7c6620afba5434aaae6ef9be3dfdbd2" minOccurs="0"/>
                <xsd:element ref="ns3:TaxCatchAll" minOccurs="0"/>
                <xsd:element ref="ns2:h9003f7b9f494612977846e0050fed71" minOccurs="0"/>
                <xsd:element ref="ns2:pbc0f0de950a4a35a97ec71d1ea28ac6" minOccurs="0"/>
                <xsd:element ref="ns2:f25aee4750b24120b97bdbb6766dd771" minOccurs="0"/>
                <xsd:element ref="ns2:ka6aaa3f9c694727892a9d4c842b0cb7" minOccurs="0"/>
                <xsd:element ref="ns2:h00809838d2c4acabc9e4b8e74fa1ba3" minOccurs="0"/>
                <xsd:element ref="ns2:ff9ab3467cf04ce9aa1cff0f5f816655" minOccurs="0"/>
                <xsd:element ref="ns2:cd67ed8a84074a6585f4dff49f8697b2"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216c6c-829b-4bd6-a7b8-61d756915e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YENTSOE_SiteType" ma:index="12" nillable="true" ma:displayName="Site Type" ma:default="MYENTSOE" ma:internalName="MYENTSOE_SiteType">
      <xsd:simpleType>
        <xsd:restriction base="dms:Text"/>
      </xsd:simpleType>
    </xsd:element>
    <xsd:element name="o7c6620afba5434aaae6ef9be3dfdbd2" ma:index="14" nillable="true" ma:taxonomy="true" ma:internalName="o7c6620afba5434aaae6ef9be3dfdbd2" ma:taxonomyFieldName="MYENTSOE_PublicType" ma:displayName="Public Type" ma:default="-1;#Extranet|922fc1ba-0c8d-4fbf-b30d-83722d0f30f2" ma:fieldId="{87c6620a-fba5-434a-aae6-ef9be3dfdbd2}" ma:sspId="0cf2b176-d4dc-4d18-8c95-51f9f2dafcd3" ma:termSetId="a0d7c562-4a8e-458a-9f8a-6a29e3d3b260" ma:anchorId="00000000-0000-0000-0000-000000000000" ma:open="false" ma:isKeyword="false">
      <xsd:complexType>
        <xsd:sequence>
          <xsd:element ref="pc:Terms" minOccurs="0" maxOccurs="1"/>
        </xsd:sequence>
      </xsd:complexType>
    </xsd:element>
    <xsd:element name="h9003f7b9f494612977846e0050fed71" ma:index="17" nillable="true" ma:taxonomy="true" ma:internalName="h9003f7b9f494612977846e0050fed71" ma:taxonomyFieldName="MYENTSOE_Section" ma:displayName="Section" ma:default="-1;#SDC|414c202c-9255-45c1-8290-a69e6acf8153" ma:fieldId="{19003f7b-9f49-4612-9778-46e0050fed71}" ma:sspId="0cf2b176-d4dc-4d18-8c95-51f9f2dafcd3" ma:termSetId="ca6f290f-ffad-40e7-8c84-e8889b665443" ma:anchorId="00000000-0000-0000-0000-000000000000" ma:open="false" ma:isKeyword="false">
      <xsd:complexType>
        <xsd:sequence>
          <xsd:element ref="pc:Terms" minOccurs="0" maxOccurs="1"/>
        </xsd:sequence>
      </xsd:complexType>
    </xsd:element>
    <xsd:element name="pbc0f0de950a4a35a97ec71d1ea28ac6" ma:index="19" nillable="true" ma:taxonomy="true" ma:internalName="pbc0f0de950a4a35a97ec71d1ea28ac6" ma:taxonomyFieldName="MYENTSOE_Classification1" ma:displayName="Classification 1" ma:fieldId="{9bc0f0de-950a-4a35-a97e-c71d1ea28ac6}"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f25aee4750b24120b97bdbb6766dd771" ma:index="21" nillable="true" ma:taxonomy="true" ma:internalName="f25aee4750b24120b97bdbb6766dd771" ma:taxonomyFieldName="MYENTSOE_Classification2" ma:displayName="Classification 2" ma:fieldId="{f25aee47-50b2-4120-b97b-dbb6766dd771}"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ka6aaa3f9c694727892a9d4c842b0cb7" ma:index="23" nillable="true" ma:taxonomy="true" ma:internalName="ka6aaa3f9c694727892a9d4c842b0cb7" ma:taxonomyFieldName="MYENTSOE_Classification3" ma:displayName="Classification 3" ma:fieldId="{4a6aaa3f-9c69-4727-892a-9d4c842b0cb7}"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h00809838d2c4acabc9e4b8e74fa1ba3" ma:index="25" nillable="true" ma:taxonomy="true" ma:internalName="h00809838d2c4acabc9e4b8e74fa1ba3" ma:taxonomyFieldName="MYENTSOE_Classification4" ma:displayName="Classification 4" ma:fieldId="{10080983-8d2c-4aca-bc9e-4b8e74fa1ba3}"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ff9ab3467cf04ce9aa1cff0f5f816655" ma:index="27" nillable="true" ma:taxonomy="true" ma:internalName="ff9ab3467cf04ce9aa1cff0f5f816655" ma:taxonomyFieldName="MYENTSOE_SharingType" ma:displayName="Sharing Type" ma:default="-1;#Shared|04da8cfa-2b68-4725-9db5-e7b66ab623e6" ma:fieldId="{ff9ab346-7cf0-4ce9-aa1c-ff0f5f816655}" ma:sspId="0cf2b176-d4dc-4d18-8c95-51f9f2dafcd3" ma:termSetId="09b229b3-e0b6-423a-b819-7f93001a6e2a" ma:anchorId="00000000-0000-0000-0000-000000000000" ma:open="false" ma:isKeyword="false">
      <xsd:complexType>
        <xsd:sequence>
          <xsd:element ref="pc:Terms" minOccurs="0" maxOccurs="1"/>
        </xsd:sequence>
      </xsd:complexType>
    </xsd:element>
    <xsd:element name="cd67ed8a84074a6585f4dff49f8697b2" ma:index="29" nillable="true" ma:taxonomy="true" ma:internalName="cd67ed8a84074a6585f4dff49f8697b2" ma:taxonomyFieldName="Confidentiality" ma:displayName="Confidentiality" ma:fieldId="{cd67ed8a-8407-4a65-85f4-dff49f8697b2}" ma:sspId="0cf2b176-d4dc-4d18-8c95-51f9f2dafcd3" ma:termSetId="1aeb3a4d-5a56-4fc5-b0c8-230b3cd7bda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3fb2008-9808-4f29-aa32-2f66631018ed"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17b3c731-962d-4f9a-8853-46a084690825}" ma:internalName="TaxCatchAll" ma:showField="CatchAllData" ma:web="e3fb2008-9808-4f29-aa32-2f66631018e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1027D8D-FB24-46F6-BDF5-003311DBEEAF}"/>
</file>

<file path=customXml/itemProps2.xml><?xml version="1.0" encoding="utf-8"?>
<ds:datastoreItem xmlns:ds="http://schemas.openxmlformats.org/officeDocument/2006/customXml" ds:itemID="{B2639ECA-FCCA-4208-8DAE-46CF0CED4CD7}">
  <ds:schemaRefs>
    <ds:schemaRef ds:uri="http://schemas.microsoft.com/office/2006/metadata/properties"/>
    <ds:schemaRef ds:uri="http://schemas.microsoft.com/office/infopath/2007/PartnerControls"/>
    <ds:schemaRef ds:uri="febcdd9f-8e8a-4082-9087-afb1140160c2"/>
    <ds:schemaRef ds:uri="747bd86c-ce71-45ea-b8eb-b2faa30a321f"/>
  </ds:schemaRefs>
</ds:datastoreItem>
</file>

<file path=customXml/itemProps3.xml><?xml version="1.0" encoding="utf-8"?>
<ds:datastoreItem xmlns:ds="http://schemas.openxmlformats.org/officeDocument/2006/customXml" ds:itemID="{4F0FE50F-5174-435F-91F5-65101F8EA3EE}"/>
</file>

<file path=docMetadata/LabelInfo.xml><?xml version="1.0" encoding="utf-8"?>
<clbl:labelList xmlns:clbl="http://schemas.microsoft.com/office/2020/mipLabelMetadata">
  <clbl:label id="{d65a070e-ad16-4345-879f-c1de6464f1fb}" enabled="1" method="Standard" siteId="{eccd734e-7022-4709-aba5-a5dd77929e27}" contentBits="2" removed="0"/>
</clbl:labelList>
</file>

<file path=docProps/app.xml><?xml version="1.0" encoding="utf-8"?>
<Properties xmlns="http://schemas.openxmlformats.org/officeDocument/2006/extended-properties" xmlns:vt="http://schemas.openxmlformats.org/officeDocument/2006/docPropsVTypes">
  <Template/>
  <TotalTime>217</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David Radu</dc:creator>
  <dc:description/>
  <dc:language>en-DK</dc:language>
  <cp:lastModifiedBy/>
  <dcterms:modified xsi:type="dcterms:W3CDTF">2026-05-18T16:27:30Z</dcterms:modified>
  <cp:revision>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fidentiality">
    <vt:lpwstr/>
  </property>
  <property fmtid="{D5CDD505-2E9C-101B-9397-08002B2CF9AE}" pid="3" name="ContentTypeId">
    <vt:lpwstr>0x0101007A5B6B50967DEB4BA6EFC3DC4B3E4C2D</vt:lpwstr>
  </property>
  <property fmtid="{D5CDD505-2E9C-101B-9397-08002B2CF9AE}" pid="4" name="MYENTSOE_Classification1">
    <vt:lpwstr/>
  </property>
  <property fmtid="{D5CDD505-2E9C-101B-9397-08002B2CF9AE}" pid="5" name="MYENTSOE_Classification2">
    <vt:lpwstr/>
  </property>
  <property fmtid="{D5CDD505-2E9C-101B-9397-08002B2CF9AE}" pid="6" name="MYENTSOE_Classification3">
    <vt:lpwstr/>
  </property>
  <property fmtid="{D5CDD505-2E9C-101B-9397-08002B2CF9AE}" pid="7" name="MYENTSOE_Classification4">
    <vt:lpwstr/>
  </property>
  <property fmtid="{D5CDD505-2E9C-101B-9397-08002B2CF9AE}" pid="8" name="MYENTSOE_PublicType">
    <vt:lpwstr>1;#Extranet|922fc1ba-0c8d-4fbf-b30d-83722d0f30f2</vt:lpwstr>
  </property>
  <property fmtid="{D5CDD505-2E9C-101B-9397-08002B2CF9AE}" pid="9" name="MYENTSOE_Section">
    <vt:lpwstr>2;#SDC|414c202c-9255-45c1-8290-a69e6acf8153</vt:lpwstr>
  </property>
  <property fmtid="{D5CDD505-2E9C-101B-9397-08002B2CF9AE}" pid="10" name="MYENTSOE_SharingType">
    <vt:lpwstr>3;#Shared|04da8cfa-2b68-4725-9db5-e7b66ab623e6</vt:lpwstr>
  </property>
  <property fmtid="{D5CDD505-2E9C-101B-9397-08002B2CF9AE}" pid="11" name="MediaServiceImageTags">
    <vt:lpwstr/>
  </property>
</Properties>
</file>